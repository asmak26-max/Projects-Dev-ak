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A:\SEM 4\"/>
    </mc:Choice>
  </mc:AlternateContent>
  <xr:revisionPtr revIDLastSave="0" documentId="13_ncr:1_{E1E66CA2-AF5A-4D99-B436-43B59691DB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ject wise" sheetId="4" r:id="rId1"/>
    <sheet name="Format A " sheetId="1" r:id="rId2"/>
    <sheet name="Format B " sheetId="2" r:id="rId3"/>
    <sheet name="Topper  " sheetId="3" r:id="rId4"/>
    <sheet name="Sheet1" sheetId="5" r:id="rId5"/>
    <sheet name="Sheet2" sheetId="6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7" i="4" l="1"/>
  <c r="M87" i="4"/>
  <c r="I87" i="4"/>
  <c r="E87" i="4"/>
  <c r="Q85" i="4"/>
  <c r="M85" i="4"/>
  <c r="I85" i="4"/>
  <c r="E85" i="4"/>
  <c r="Q84" i="4"/>
  <c r="M84" i="4"/>
  <c r="I84" i="4"/>
  <c r="E84" i="4"/>
  <c r="Q83" i="4"/>
  <c r="M83" i="4"/>
  <c r="I83" i="4"/>
  <c r="E83" i="4"/>
  <c r="Q82" i="4"/>
  <c r="M82" i="4"/>
  <c r="I82" i="4"/>
  <c r="E82" i="4"/>
  <c r="E8" i="3"/>
  <c r="E7" i="3"/>
  <c r="E6" i="3"/>
  <c r="C13" i="1"/>
  <c r="H11" i="1"/>
  <c r="L11" i="1" s="1"/>
  <c r="J11" i="1" l="1"/>
  <c r="C14" i="1" l="1"/>
  <c r="K11" i="1"/>
  <c r="M11" i="1"/>
  <c r="C15" i="1" s="1"/>
</calcChain>
</file>

<file path=xl/sharedStrings.xml><?xml version="1.0" encoding="utf-8"?>
<sst xmlns="http://schemas.openxmlformats.org/spreadsheetml/2006/main" count="253" uniqueCount="180">
  <si>
    <t>PROFORMA- A</t>
  </si>
  <si>
    <t>RESULT ANALYSIS</t>
  </si>
  <si>
    <r>
      <rPr>
        <sz val="12"/>
        <rFont val="Calibri"/>
      </rPr>
      <t xml:space="preserve">Name of Institute:-  </t>
    </r>
    <r>
      <rPr>
        <b/>
        <sz val="12"/>
        <rFont val="Calibri"/>
      </rPr>
      <t>Bharati Vidyapeeth Institute of Technology ,Navi Mumbai(0027)</t>
    </r>
  </si>
  <si>
    <r>
      <rPr>
        <sz val="12"/>
        <rFont val="Calibri"/>
      </rPr>
      <t xml:space="preserve">Period of Exam.:- </t>
    </r>
    <r>
      <rPr>
        <b/>
        <sz val="12"/>
        <rFont val="Calibri"/>
      </rPr>
      <t xml:space="preserve"> WINTER -2023</t>
    </r>
  </si>
  <si>
    <r>
      <rPr>
        <sz val="12"/>
        <rFont val="Calibri"/>
      </rPr>
      <t>Date of Decleration of Result :-</t>
    </r>
    <r>
      <rPr>
        <b/>
        <sz val="12"/>
        <rFont val="Calibri"/>
      </rPr>
      <t>24/01/2023</t>
    </r>
  </si>
  <si>
    <r>
      <rPr>
        <sz val="12"/>
        <rFont val="Calibri"/>
      </rPr>
      <t>Date  of Submission of Result Analysis :-</t>
    </r>
    <r>
      <rPr>
        <b/>
        <sz val="12"/>
        <rFont val="Calibri"/>
      </rPr>
      <t>25/01/2023</t>
    </r>
  </si>
  <si>
    <t>Class/ Year                                                                                                                    (1)</t>
  </si>
  <si>
    <t>No. of Students registered for Exam                           (2)</t>
  </si>
  <si>
    <t>No. of students actually appeared                         (3)</t>
  </si>
  <si>
    <t xml:space="preserve">                No. of students passed</t>
  </si>
  <si>
    <t xml:space="preserve">Pass Without ATKT                 (8) =    (4+5+6+7)                      </t>
  </si>
  <si>
    <t>With ATKT                        (9)</t>
  </si>
  <si>
    <t xml:space="preserve">       Total student passed   (10)    =(8+9)</t>
  </si>
  <si>
    <t>Total No. of student Failed</t>
  </si>
  <si>
    <t>Total passing %   without ATKT</t>
  </si>
  <si>
    <t>Total passing %   with ATKT</t>
  </si>
  <si>
    <t>1st class with Distinction                      (4)</t>
  </si>
  <si>
    <t>1st class                    (5)</t>
  </si>
  <si>
    <t>2nd class                                  (6)</t>
  </si>
  <si>
    <t>Pass class               (7)</t>
  </si>
  <si>
    <t>CM3I</t>
  </si>
  <si>
    <t>Total Students Appeared :-</t>
  </si>
  <si>
    <t>Total Students Passed :-</t>
  </si>
  <si>
    <t>Total % of Passing :-</t>
  </si>
  <si>
    <t xml:space="preserve">                Signature of HOD</t>
  </si>
  <si>
    <t>Signature of Principal</t>
  </si>
  <si>
    <t>COMPUTER TECHNOLOGY</t>
  </si>
  <si>
    <t>PROFORMA -B</t>
  </si>
  <si>
    <t xml:space="preserve">   RESULT ANALYSIS</t>
  </si>
  <si>
    <r>
      <rPr>
        <sz val="12"/>
        <rFont val="Calibri"/>
      </rPr>
      <t xml:space="preserve">Name of Institute:-      </t>
    </r>
    <r>
      <rPr>
        <b/>
        <sz val="12"/>
        <rFont val="Calibri"/>
      </rPr>
      <t>Bharati Vidyapeeth Institute of Technology,Navi Mumbai(0027)</t>
    </r>
  </si>
  <si>
    <r>
      <rPr>
        <b/>
        <sz val="12"/>
        <rFont val="Calibri"/>
      </rPr>
      <t>Instt. Code:</t>
    </r>
    <r>
      <rPr>
        <sz val="12"/>
        <rFont val="Calibri"/>
      </rPr>
      <t xml:space="preserve">- </t>
    </r>
  </si>
  <si>
    <t>0027</t>
  </si>
  <si>
    <t>Year &amp; Class    :-</t>
  </si>
  <si>
    <t xml:space="preserve">Semester   :- </t>
  </si>
  <si>
    <t>THIRD</t>
  </si>
  <si>
    <t xml:space="preserve">Period of Exam :-            </t>
  </si>
  <si>
    <t>WINTER-2023</t>
  </si>
  <si>
    <r>
      <rPr>
        <sz val="12"/>
        <rFont val="Calibri"/>
      </rPr>
      <t>Date of Decleration of Result:-</t>
    </r>
    <r>
      <rPr>
        <b/>
        <sz val="12"/>
        <rFont val="Calibri"/>
      </rPr>
      <t xml:space="preserve"> 24/01/2024</t>
    </r>
  </si>
  <si>
    <t xml:space="preserve">Department :- </t>
  </si>
  <si>
    <t>Computer Technology</t>
  </si>
  <si>
    <t>Sr. No.</t>
  </si>
  <si>
    <t>Name of Subject</t>
  </si>
  <si>
    <t>Actual no. of  students appeared</t>
  </si>
  <si>
    <t>Total no. of students passed</t>
  </si>
  <si>
    <t>1st class with Distinction</t>
  </si>
  <si>
    <t>1st class</t>
  </si>
  <si>
    <t xml:space="preserve">2nd class </t>
  </si>
  <si>
    <t>Pass class</t>
  </si>
  <si>
    <t>% of Passing</t>
  </si>
  <si>
    <t>Name of Teacher</t>
  </si>
  <si>
    <t>OOP</t>
  </si>
  <si>
    <t>MRS. SHILPA JADHAV</t>
  </si>
  <si>
    <t>DSU</t>
  </si>
  <si>
    <t>MRS. SUWARNA NIMKARDE</t>
  </si>
  <si>
    <t>CGR</t>
  </si>
  <si>
    <t>MR.PATIL RAHUL</t>
  </si>
  <si>
    <t>DMS</t>
  </si>
  <si>
    <t>MR.MALI MOHAN</t>
  </si>
  <si>
    <t>DTE</t>
  </si>
  <si>
    <t>MRS. RUPALI BHOSALE</t>
  </si>
  <si>
    <t>Signature of HOD</t>
  </si>
  <si>
    <t>List of Toppers - ( W-2021)</t>
  </si>
  <si>
    <t xml:space="preserve"> Computer Technology </t>
  </si>
  <si>
    <t>Semester :-CM4I</t>
  </si>
  <si>
    <t>Name of Student</t>
  </si>
  <si>
    <t>Total Marks</t>
  </si>
  <si>
    <t>Out of</t>
  </si>
  <si>
    <t>%</t>
  </si>
  <si>
    <t>PARAB VAISHNAVI SATYAVIJAY</t>
  </si>
  <si>
    <t>VEDANT BHUMI DEVENDRA</t>
  </si>
  <si>
    <t>PATIL SOHAM MANOHAR</t>
  </si>
  <si>
    <t xml:space="preserve">Computer Technology </t>
  </si>
  <si>
    <t>ROLL NO</t>
  </si>
  <si>
    <t>ENROLLMENT</t>
  </si>
  <si>
    <t>SEAT NO</t>
  </si>
  <si>
    <t>NAME</t>
  </si>
  <si>
    <t>MARKS</t>
  </si>
  <si>
    <t>TOTAL</t>
  </si>
  <si>
    <t>PERCENTAGE</t>
  </si>
  <si>
    <t>RESULT</t>
  </si>
  <si>
    <t>TH</t>
  </si>
  <si>
    <t>PR</t>
  </si>
  <si>
    <t>ESE</t>
  </si>
  <si>
    <t>PA</t>
  </si>
  <si>
    <t>DEEPALI VINOD GANACHARI</t>
  </si>
  <si>
    <t>FIRST CLASS DIST.</t>
  </si>
  <si>
    <t>VISHAKHA SURESH WANKHEDE</t>
  </si>
  <si>
    <t>ANUSHKA ANIL THAKARE</t>
  </si>
  <si>
    <t>ANUSHKA UDAY KHARCHE</t>
  </si>
  <si>
    <t xml:space="preserve">SHRAVAN SANJIV JADHAV </t>
  </si>
  <si>
    <t xml:space="preserve">HAMZAH RAEES AHMAD SHAIKH </t>
  </si>
  <si>
    <t>SAHIL ANIL KASBE</t>
  </si>
  <si>
    <t xml:space="preserve">PARTH VINOD MORE </t>
  </si>
  <si>
    <t>NIKITA SANJAY ATOLE</t>
  </si>
  <si>
    <t xml:space="preserve">YASH PRAMOD MALUNJKAR </t>
  </si>
  <si>
    <t>VEERAJ KIRAN PANCHAL</t>
  </si>
  <si>
    <t>PREM PRAVIN JADHAV</t>
  </si>
  <si>
    <t xml:space="preserve">HIRAL VITTHAL RANE </t>
  </si>
  <si>
    <t>SIDDHI SACHIN KHARANGATE</t>
  </si>
  <si>
    <t xml:space="preserve">ANKITA ABHINANDAN JADHAV </t>
  </si>
  <si>
    <t xml:space="preserve">DIPTI SUNIL GHARGE </t>
  </si>
  <si>
    <t>HARSH VISHWANATH PANCHAL</t>
  </si>
  <si>
    <t>ABHISHEK SANJAY MANE</t>
  </si>
  <si>
    <t>SWAPNIL KAILAS DONGARE</t>
  </si>
  <si>
    <t xml:space="preserve">VAISHNAVI PRANAY PATIL </t>
  </si>
  <si>
    <t>SAMRUDDHI MAHESH SURVE.</t>
  </si>
  <si>
    <t xml:space="preserve">SOHAM NARESH BATAWLE </t>
  </si>
  <si>
    <t xml:space="preserve">ANAY ANANT GAWAS </t>
  </si>
  <si>
    <t>PRATHAMESH SURESH GAIKAR</t>
  </si>
  <si>
    <t>YUG HEMANT BHOIR</t>
  </si>
  <si>
    <t>SAMARTH DINKAR PATIL</t>
  </si>
  <si>
    <t>OMKAR SUBHASH KUDKE</t>
  </si>
  <si>
    <t>YASH DATTATRAY SHIROLE</t>
  </si>
  <si>
    <t>NIDHISH AJAY SHINDE</t>
  </si>
  <si>
    <t xml:space="preserve">SAWANT SAMAR RATNAKANT </t>
  </si>
  <si>
    <t>AAYUSH RAJENDRA AUTI</t>
  </si>
  <si>
    <t>ARPITA RAJU POL</t>
  </si>
  <si>
    <t>SHREYA DAYANAND POOJARI</t>
  </si>
  <si>
    <t>SAMIKSHA SANDIP PATIL</t>
  </si>
  <si>
    <t xml:space="preserve">PATIL BHAKTI SANJAY </t>
  </si>
  <si>
    <t>ADITI ADHIKRAO JADHAV</t>
  </si>
  <si>
    <t xml:space="preserve">ATHARVA MAHESH HATTARGI </t>
  </si>
  <si>
    <t>SIDDHANT MAHESH PATIL</t>
  </si>
  <si>
    <t xml:space="preserve">PANDURANG ANKUSH AKHADE </t>
  </si>
  <si>
    <t>ANIKET RAMESH KHANDEKAR</t>
  </si>
  <si>
    <t>VAIBHAV SANTOSH BOBADE</t>
  </si>
  <si>
    <t xml:space="preserve">VIVEK PRALHAD GUPTA </t>
  </si>
  <si>
    <t xml:space="preserve">VEDANT SHANKAR BARVE </t>
  </si>
  <si>
    <t xml:space="preserve">SHUBHAM MOHAN JADHAV </t>
  </si>
  <si>
    <t>AKANKSHA SANTOSH NILKANTHE</t>
  </si>
  <si>
    <t>SAKSHI RAJKUMAR GUPTA</t>
  </si>
  <si>
    <t xml:space="preserve">SHIVAM CHANDRAKANT DUSHMAN </t>
  </si>
  <si>
    <t>DIKSHA TANAJI KONDHALKAR</t>
  </si>
  <si>
    <t xml:space="preserve">SUYASH ABASO GHODAKE </t>
  </si>
  <si>
    <t xml:space="preserve">SIDDHI SAHADEV JIGE </t>
  </si>
  <si>
    <t>SWAGAT NINAD PATIL</t>
  </si>
  <si>
    <t xml:space="preserve">2200270252	</t>
  </si>
  <si>
    <t>PRANAV BAPURAO SHIMPI</t>
  </si>
  <si>
    <t xml:space="preserve">SHUBHAM NAVNATH HAVALE </t>
  </si>
  <si>
    <t>VARUN AJIT KADAM</t>
  </si>
  <si>
    <t xml:space="preserve">AYUSH NANASO MAHADIK </t>
  </si>
  <si>
    <t>VIGHNESH SATISH NALAWADE</t>
  </si>
  <si>
    <t>GAURI VILAS DHAKTODE</t>
  </si>
  <si>
    <t>YASH DILIP DHAMANE</t>
  </si>
  <si>
    <t>TUBA JUNAID AHMED SHAIKH</t>
  </si>
  <si>
    <t xml:space="preserve">SAMRUDDHI RAJENDRA BHOSALE </t>
  </si>
  <si>
    <t>ASMA FAKHRUDDIN KHAN</t>
  </si>
  <si>
    <t>SATYAM DATTATRAY  PATIL</t>
  </si>
  <si>
    <t>POOJA MAMBU KALE</t>
  </si>
  <si>
    <t xml:space="preserve">GAURAV KALURAM DONGARE </t>
  </si>
  <si>
    <t xml:space="preserve">SAEE DILIP MHASE </t>
  </si>
  <si>
    <t xml:space="preserve">ROHAN VISHWANATH MARDHEKAR </t>
  </si>
  <si>
    <t>KARAN HARI TOPLE</t>
  </si>
  <si>
    <t xml:space="preserve">SNEHAL DURYODHAN LUBAL </t>
  </si>
  <si>
    <t>KIRTI GORKSHANATH GARGOTE</t>
  </si>
  <si>
    <t>SANGRAM JAGANNATH WAYDANDE</t>
  </si>
  <si>
    <t>ADIT SANJAY MOKASHI</t>
  </si>
  <si>
    <t xml:space="preserve">SUHANI SUNIL BALIP </t>
  </si>
  <si>
    <t xml:space="preserve">ATHARV MOHAN MHATRE </t>
  </si>
  <si>
    <t xml:space="preserve">PRANAY VILAS RAJPURE </t>
  </si>
  <si>
    <t>SURAJ DEEPAK JADHAV</t>
  </si>
  <si>
    <t>Distinction</t>
  </si>
  <si>
    <t>First Class</t>
  </si>
  <si>
    <t>Second  Class</t>
  </si>
  <si>
    <t>Pass Class</t>
  </si>
  <si>
    <t xml:space="preserve">70 Out of 70 Marks </t>
  </si>
  <si>
    <t>FIRST CLASS.</t>
  </si>
  <si>
    <t>13*</t>
  </si>
  <si>
    <t>ATKT</t>
  </si>
  <si>
    <t>17*</t>
  </si>
  <si>
    <t>24*</t>
  </si>
  <si>
    <t>22*</t>
  </si>
  <si>
    <t>19*</t>
  </si>
  <si>
    <t>23*</t>
  </si>
  <si>
    <t>FAIL</t>
  </si>
  <si>
    <t>24@</t>
  </si>
  <si>
    <t>FIRST CLASS CON</t>
  </si>
  <si>
    <t>10*</t>
  </si>
  <si>
    <t>(All)</t>
  </si>
  <si>
    <t>Second CLASS.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</si>
</sst>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color rgb="FF000000"/>
      <name val="Calibri"/>
      <scheme val="minor"/>
    </font>
    <font>
      <b/>
      <sz val="12"/>
      <name val="Calibri"/>
    </font>
    <font>
      <b/>
      <u/>
      <sz val="16"/>
      <name val="Calibri"/>
    </font>
    <font>
      <sz val="12"/>
      <name val="Calibri"/>
    </font>
    <font>
      <sz val="8"/>
      <name val="Times New Roman"/>
    </font>
    <font>
      <sz val="10"/>
      <name val="Arial"/>
    </font>
    <font>
      <sz val="10"/>
      <name val="Calibri"/>
    </font>
    <font>
      <sz val="12"/>
      <name val="Times New Roman"/>
    </font>
    <font>
      <b/>
      <sz val="10"/>
      <name val="Arial"/>
    </font>
    <font>
      <b/>
      <sz val="11"/>
      <name val="Arial"/>
    </font>
    <font>
      <b/>
      <sz val="12"/>
      <name val="Arial"/>
    </font>
    <font>
      <b/>
      <sz val="14"/>
      <name val="Calibri"/>
    </font>
    <font>
      <b/>
      <sz val="14"/>
      <name val="Times New Roman"/>
    </font>
    <font>
      <b/>
      <sz val="12"/>
      <name val="Times New Roman"/>
    </font>
    <font>
      <b/>
      <sz val="13"/>
      <name val="Times New Roman"/>
    </font>
    <font>
      <b/>
      <sz val="16"/>
      <name val="Calibri"/>
    </font>
    <font>
      <b/>
      <u/>
      <sz val="14"/>
      <name val="Calibri"/>
    </font>
    <font>
      <b/>
      <u/>
      <sz val="12"/>
      <name val="Calibri"/>
    </font>
    <font>
      <u/>
      <sz val="12"/>
      <name val="Calibri"/>
    </font>
    <font>
      <sz val="12"/>
      <name val="Calibri"/>
    </font>
    <font>
      <b/>
      <sz val="20"/>
      <name val="Times New Roman"/>
    </font>
    <font>
      <sz val="9"/>
      <name val="Times New Roman"/>
    </font>
    <font>
      <sz val="10"/>
      <name val="Times New Roman"/>
    </font>
    <font>
      <sz val="10"/>
      <name val="Times New Roman"/>
    </font>
    <font>
      <sz val="9"/>
      <name val="Arial"/>
    </font>
    <font>
      <sz val="11"/>
      <name val="Times New Roman"/>
    </font>
    <font>
      <sz val="12"/>
      <name val="Times New Roman"/>
    </font>
    <font>
      <sz val="11"/>
      <name val="Calibri"/>
    </font>
    <font>
      <u/>
      <sz val="11"/>
      <name val="Calibri"/>
    </font>
    <font>
      <sz val="10"/>
      <name val="Arial"/>
    </font>
    <font>
      <sz val="10"/>
      <color rgb="FFFF0000"/>
      <name val="Arial"/>
    </font>
    <font>
      <sz val="10"/>
      <color rgb="FF0070C0"/>
      <name val="Arial"/>
    </font>
    <font>
      <sz val="10"/>
      <color rgb="FF7030A0"/>
      <name val="Arial"/>
    </font>
    <font>
      <sz val="12"/>
      <color rgb="FFFF0000"/>
      <name val="Times New Roman"/>
    </font>
    <font>
      <sz val="12"/>
      <color rgb="FF0070C0"/>
      <name val="Times New Roman"/>
    </font>
    <font>
      <sz val="10"/>
      <name val="Arial"/>
      <family val="2"/>
    </font>
    <font>
      <sz val="11"/>
      <name val="Calibri"/>
      <family val="2"/>
    </font>
    <font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0" fontId="37" fillId="0" borderId="0" applyNumberFormat="0" applyFill="0" applyBorder="0" applyAlignment="0" applyProtection="0"/>
  </cellStyleXfs>
  <cellXfs count="127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/>
    <xf numFmtId="14" fontId="3" fillId="0" borderId="0" xfId="0" applyNumberFormat="1" applyFont="1"/>
    <xf numFmtId="0" fontId="7" fillId="0" borderId="0" xfId="0" applyFont="1" applyAlignment="1">
      <alignment horizontal="center" vertical="top" wrapText="1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10" fontId="3" fillId="0" borderId="23" xfId="0" applyNumberFormat="1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0" fillId="0" borderId="0" xfId="0" applyFont="1"/>
    <xf numFmtId="0" fontId="3" fillId="0" borderId="8" xfId="0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2" fontId="12" fillId="0" borderId="0" xfId="0" applyNumberFormat="1" applyFont="1" applyAlignment="1">
      <alignment horizontal="center"/>
    </xf>
    <xf numFmtId="10" fontId="13" fillId="0" borderId="26" xfId="0" applyNumberFormat="1" applyFont="1" applyBorder="1" applyAlignment="1">
      <alignment horizontal="center" vertic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3" fillId="0" borderId="0" xfId="0" quotePrefix="1" applyFont="1"/>
    <xf numFmtId="0" fontId="3" fillId="0" borderId="26" xfId="0" applyFont="1" applyBorder="1" applyAlignment="1">
      <alignment horizontal="center" vertical="center" wrapText="1"/>
    </xf>
    <xf numFmtId="10" fontId="3" fillId="0" borderId="26" xfId="0" applyNumberFormat="1" applyFont="1" applyBorder="1" applyAlignment="1">
      <alignment horizontal="center" vertical="center" wrapText="1"/>
    </xf>
    <xf numFmtId="0" fontId="3" fillId="0" borderId="26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1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1" fillId="0" borderId="0" xfId="0" applyFont="1"/>
    <xf numFmtId="0" fontId="22" fillId="0" borderId="0" xfId="0" applyFont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7" fillId="0" borderId="26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left" vertical="center" wrapText="1"/>
    </xf>
    <xf numFmtId="0" fontId="22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10" fontId="7" fillId="0" borderId="26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vertical="center" wrapText="1"/>
    </xf>
    <xf numFmtId="0" fontId="23" fillId="0" borderId="26" xfId="0" applyFont="1" applyBorder="1" applyAlignment="1">
      <alignment horizontal="left" vertical="center"/>
    </xf>
    <xf numFmtId="0" fontId="21" fillId="0" borderId="26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4" fillId="0" borderId="0" xfId="0" applyFont="1"/>
    <xf numFmtId="0" fontId="5" fillId="0" borderId="0" xfId="0" applyFont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2" fontId="5" fillId="0" borderId="26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23" fillId="0" borderId="26" xfId="0" applyFont="1" applyBorder="1" applyAlignment="1">
      <alignment vertical="center"/>
    </xf>
    <xf numFmtId="0" fontId="23" fillId="0" borderId="26" xfId="0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3" fillId="0" borderId="26" xfId="0" applyFont="1" applyBorder="1" applyAlignment="1">
      <alignment vertical="center"/>
    </xf>
    <xf numFmtId="0" fontId="33" fillId="0" borderId="26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22" fillId="0" borderId="26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26" xfId="0" applyFont="1" applyBorder="1" applyAlignment="1">
      <alignment horizontal="center" vertical="center"/>
    </xf>
    <xf numFmtId="2" fontId="35" fillId="0" borderId="26" xfId="0" applyNumberFormat="1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0" fontId="37" fillId="0" borderId="26" xfId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0" xfId="0" pivotButton="1"/>
    <xf numFmtId="0" fontId="13" fillId="0" borderId="12" xfId="0" applyFont="1" applyBorder="1" applyAlignment="1">
      <alignment horizontal="center" vertical="center" wrapText="1"/>
    </xf>
    <xf numFmtId="0" fontId="6" fillId="0" borderId="9" xfId="0" applyFont="1" applyBorder="1"/>
    <xf numFmtId="0" fontId="6" fillId="0" borderId="16" xfId="0" applyFont="1" applyBorder="1"/>
    <xf numFmtId="0" fontId="13" fillId="0" borderId="28" xfId="0" applyFont="1" applyBorder="1" applyAlignment="1">
      <alignment horizontal="center" vertical="center" wrapText="1"/>
    </xf>
    <xf numFmtId="0" fontId="6" fillId="0" borderId="29" xfId="0" applyFont="1" applyBorder="1"/>
    <xf numFmtId="0" fontId="6" fillId="0" borderId="30" xfId="0" applyFont="1" applyBorder="1"/>
    <xf numFmtId="0" fontId="15" fillId="0" borderId="27" xfId="0" applyFont="1" applyBorder="1" applyAlignment="1">
      <alignment horizontal="center"/>
    </xf>
    <xf numFmtId="0" fontId="6" fillId="0" borderId="27" xfId="0" applyFont="1" applyBorder="1"/>
    <xf numFmtId="0" fontId="11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11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6" fillId="0" borderId="8" xfId="0" applyFont="1" applyBorder="1"/>
    <xf numFmtId="0" fontId="6" fillId="0" borderId="15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5" xfId="0" applyFont="1" applyBorder="1"/>
    <xf numFmtId="0" fontId="6" fillId="0" borderId="6" xfId="0" applyFont="1" applyBorder="1"/>
    <xf numFmtId="0" fontId="9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6" fillId="0" borderId="14" xfId="0" applyFont="1" applyBorder="1"/>
    <xf numFmtId="0" fontId="6" fillId="0" borderId="20" xfId="0" applyFont="1" applyBorder="1"/>
    <xf numFmtId="0" fontId="3" fillId="0" borderId="7" xfId="0" applyFont="1" applyBorder="1" applyAlignment="1">
      <alignment horizontal="center" vertical="center" wrapText="1"/>
    </xf>
    <xf numFmtId="0" fontId="6" fillId="0" borderId="21" xfId="0" applyFont="1" applyBorder="1"/>
    <xf numFmtId="0" fontId="8" fillId="0" borderId="0" xfId="0" applyFont="1" applyAlignment="1">
      <alignment horizontal="right" vertical="center"/>
    </xf>
    <xf numFmtId="0" fontId="3" fillId="0" borderId="3" xfId="0" applyFont="1" applyBorder="1" applyAlignment="1">
      <alignment horizontal="center" vertical="center" wrapText="1"/>
    </xf>
    <xf numFmtId="0" fontId="6" fillId="0" borderId="10" xfId="0" applyFont="1" applyBorder="1"/>
    <xf numFmtId="0" fontId="6" fillId="0" borderId="17" xfId="0" applyFont="1" applyBorder="1"/>
    <xf numFmtId="0" fontId="3" fillId="0" borderId="11" xfId="0" applyFont="1" applyBorder="1" applyAlignment="1">
      <alignment horizontal="center" vertical="center" wrapText="1"/>
    </xf>
    <xf numFmtId="0" fontId="6" fillId="0" borderId="18" xfId="0" applyFont="1" applyBorder="1"/>
    <xf numFmtId="0" fontId="3" fillId="0" borderId="12" xfId="0" applyFont="1" applyBorder="1" applyAlignment="1">
      <alignment horizontal="center" vertical="center" wrapText="1"/>
    </xf>
    <xf numFmtId="0" fontId="6" fillId="0" borderId="19" xfId="0" applyFont="1" applyBorder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361.895503240739" createdVersion="8" refreshedVersion="8" minRefreshableVersion="3" recordCount="79" xr:uid="{6F55EB5E-BD6C-4A55-9785-2D0607B493C7}">
  <cacheSource type="worksheet">
    <worksheetSource ref="A1:A80" sheet="subject wise"/>
  </cacheSource>
  <cacheFields count="1">
    <cacheField name="Computer Technology " numFmtId="0">
      <sharedItems containsBlank="1" containsMixedTypes="1" containsNumber="1" containsInteger="1" minValue="2270" maxValue="2419" count="77">
        <s v="ROLL NO"/>
        <m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414"/>
        <n v="2415"/>
        <n v="2416"/>
        <n v="2417"/>
        <n v="2418"/>
        <n v="241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x v="0"/>
  </r>
  <r>
    <x v="1"/>
  </r>
  <r>
    <x v="1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76432-3A2C-4F17-AA7A-ED5EB940CD5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BEF2E4-4B2A-471B-98C5-E2559CA7737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" firstHeaderRow="0" firstDataRow="0" firstDataCol="0" rowPageCount="1" colPageCount="1"/>
  <pivotFields count="1">
    <pivotField axis="axisPage" showAll="0">
      <items count="78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0"/>
        <item x="1"/>
        <item t="default"/>
      </items>
    </pivotField>
  </pivotFields>
  <pageFields count="1">
    <pageField fld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24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00"/>
  <sheetViews>
    <sheetView tabSelected="1" topLeftCell="A15" zoomScale="78" zoomScaleNormal="70" workbookViewId="0">
      <selection activeCell="AA25" sqref="AA25"/>
    </sheetView>
  </sheetViews>
  <sheetFormatPr defaultColWidth="14.44140625" defaultRowHeight="15" customHeight="1" x14ac:dyDescent="0.3"/>
  <cols>
    <col min="1" max="1" width="10.6640625" customWidth="1"/>
    <col min="2" max="2" width="13.6640625" customWidth="1"/>
    <col min="3" max="3" width="11.5546875" customWidth="1"/>
    <col min="4" max="4" width="35.5546875" customWidth="1"/>
    <col min="5" max="24" width="6.6640625" customWidth="1"/>
    <col min="25" max="25" width="9" customWidth="1"/>
    <col min="26" max="26" width="18.5546875" customWidth="1"/>
    <col min="27" max="27" width="22.6640625" customWidth="1"/>
    <col min="28" max="37" width="8.6640625" customWidth="1"/>
  </cols>
  <sheetData>
    <row r="1" spans="1:37" ht="12.75" customHeight="1" x14ac:dyDescent="0.4">
      <c r="A1" s="96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</row>
    <row r="2" spans="1:37" ht="15.75" customHeight="1" x14ac:dyDescent="0.3">
      <c r="A2" s="98" t="s">
        <v>72</v>
      </c>
      <c r="B2" s="90" t="s">
        <v>73</v>
      </c>
      <c r="C2" s="90" t="s">
        <v>74</v>
      </c>
      <c r="D2" s="90" t="s">
        <v>75</v>
      </c>
      <c r="E2" s="93" t="s">
        <v>76</v>
      </c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5"/>
      <c r="Y2" s="90" t="s">
        <v>77</v>
      </c>
      <c r="Z2" s="90" t="s">
        <v>78</v>
      </c>
      <c r="AA2" s="90" t="s">
        <v>79</v>
      </c>
      <c r="AB2" s="51"/>
      <c r="AC2" s="51"/>
      <c r="AD2" s="51"/>
      <c r="AE2" s="51"/>
      <c r="AF2" s="51"/>
      <c r="AG2" s="51"/>
      <c r="AH2" s="51"/>
      <c r="AI2" s="51"/>
      <c r="AJ2" s="51"/>
      <c r="AK2" s="51"/>
    </row>
    <row r="3" spans="1:37" ht="12.75" customHeight="1" x14ac:dyDescent="0.3">
      <c r="A3" s="91"/>
      <c r="B3" s="91"/>
      <c r="C3" s="91"/>
      <c r="D3" s="91"/>
      <c r="E3" s="93" t="s">
        <v>50</v>
      </c>
      <c r="F3" s="94"/>
      <c r="G3" s="94"/>
      <c r="H3" s="95"/>
      <c r="I3" s="93" t="s">
        <v>52</v>
      </c>
      <c r="J3" s="94"/>
      <c r="K3" s="94"/>
      <c r="L3" s="95"/>
      <c r="M3" s="93" t="s">
        <v>54</v>
      </c>
      <c r="N3" s="94"/>
      <c r="O3" s="94"/>
      <c r="P3" s="95"/>
      <c r="Q3" s="93" t="s">
        <v>56</v>
      </c>
      <c r="R3" s="94"/>
      <c r="S3" s="94"/>
      <c r="T3" s="95"/>
      <c r="U3" s="93" t="s">
        <v>58</v>
      </c>
      <c r="V3" s="94"/>
      <c r="W3" s="94"/>
      <c r="X3" s="95"/>
      <c r="Y3" s="91"/>
      <c r="Z3" s="91"/>
      <c r="AA3" s="91"/>
      <c r="AB3" s="51"/>
      <c r="AC3" s="51"/>
      <c r="AD3" s="51"/>
      <c r="AE3" s="51"/>
      <c r="AF3" s="51"/>
      <c r="AG3" s="51"/>
      <c r="AH3" s="51"/>
      <c r="AI3" s="51"/>
      <c r="AJ3" s="51"/>
      <c r="AK3" s="51"/>
    </row>
    <row r="4" spans="1:37" ht="12.75" customHeight="1" x14ac:dyDescent="0.3">
      <c r="A4" s="91"/>
      <c r="B4" s="91"/>
      <c r="C4" s="91"/>
      <c r="D4" s="91"/>
      <c r="E4" s="93" t="s">
        <v>80</v>
      </c>
      <c r="F4" s="95"/>
      <c r="G4" s="93" t="s">
        <v>81</v>
      </c>
      <c r="H4" s="95"/>
      <c r="I4" s="93" t="s">
        <v>80</v>
      </c>
      <c r="J4" s="95"/>
      <c r="K4" s="93" t="s">
        <v>81</v>
      </c>
      <c r="L4" s="95"/>
      <c r="M4" s="93" t="s">
        <v>80</v>
      </c>
      <c r="N4" s="95"/>
      <c r="O4" s="93" t="s">
        <v>81</v>
      </c>
      <c r="P4" s="95"/>
      <c r="Q4" s="93" t="s">
        <v>80</v>
      </c>
      <c r="R4" s="95"/>
      <c r="S4" s="93" t="s">
        <v>81</v>
      </c>
      <c r="T4" s="95"/>
      <c r="U4" s="93" t="s">
        <v>80</v>
      </c>
      <c r="V4" s="95"/>
      <c r="W4" s="93" t="s">
        <v>81</v>
      </c>
      <c r="X4" s="95"/>
      <c r="Y4" s="92"/>
      <c r="Z4" s="92"/>
      <c r="AA4" s="92"/>
      <c r="AB4" s="51"/>
      <c r="AC4" s="51"/>
      <c r="AD4" s="51"/>
      <c r="AE4" s="51"/>
      <c r="AF4" s="51"/>
      <c r="AG4" s="51"/>
      <c r="AH4" s="51"/>
      <c r="AI4" s="51"/>
      <c r="AJ4" s="51"/>
      <c r="AK4" s="51"/>
    </row>
    <row r="5" spans="1:37" ht="12.75" customHeight="1" x14ac:dyDescent="0.3">
      <c r="A5" s="92"/>
      <c r="B5" s="92"/>
      <c r="C5" s="92"/>
      <c r="D5" s="92"/>
      <c r="E5" s="52" t="s">
        <v>82</v>
      </c>
      <c r="F5" s="52" t="s">
        <v>83</v>
      </c>
      <c r="G5" s="52" t="s">
        <v>82</v>
      </c>
      <c r="H5" s="52" t="s">
        <v>83</v>
      </c>
      <c r="I5" s="52" t="s">
        <v>82</v>
      </c>
      <c r="J5" s="52" t="s">
        <v>83</v>
      </c>
      <c r="K5" s="52" t="s">
        <v>82</v>
      </c>
      <c r="L5" s="52" t="s">
        <v>83</v>
      </c>
      <c r="M5" s="52" t="s">
        <v>82</v>
      </c>
      <c r="N5" s="52" t="s">
        <v>83</v>
      </c>
      <c r="O5" s="52" t="s">
        <v>82</v>
      </c>
      <c r="P5" s="52" t="s">
        <v>83</v>
      </c>
      <c r="Q5" s="52" t="s">
        <v>82</v>
      </c>
      <c r="R5" s="52" t="s">
        <v>83</v>
      </c>
      <c r="S5" s="52" t="s">
        <v>82</v>
      </c>
      <c r="T5" s="52" t="s">
        <v>83</v>
      </c>
      <c r="U5" s="52" t="s">
        <v>82</v>
      </c>
      <c r="V5" s="52" t="s">
        <v>83</v>
      </c>
      <c r="W5" s="52" t="s">
        <v>82</v>
      </c>
      <c r="X5" s="52" t="s">
        <v>83</v>
      </c>
      <c r="Y5" s="52">
        <v>750</v>
      </c>
      <c r="Z5" s="52"/>
      <c r="AA5" s="52"/>
      <c r="AB5" s="51"/>
      <c r="AC5" s="51"/>
      <c r="AD5" s="51"/>
      <c r="AE5" s="51"/>
      <c r="AF5" s="51"/>
      <c r="AG5" s="51"/>
      <c r="AH5" s="51"/>
      <c r="AI5" s="51"/>
      <c r="AJ5" s="51"/>
      <c r="AK5" s="51"/>
    </row>
    <row r="6" spans="1:37" ht="19.5" customHeight="1" x14ac:dyDescent="0.3">
      <c r="A6" s="53">
        <v>2270</v>
      </c>
      <c r="B6" s="53">
        <v>2200270263</v>
      </c>
      <c r="C6" s="54">
        <v>108976</v>
      </c>
      <c r="D6" s="46" t="s">
        <v>84</v>
      </c>
      <c r="E6" s="55">
        <v>62</v>
      </c>
      <c r="F6" s="56">
        <v>28</v>
      </c>
      <c r="G6" s="56">
        <v>23</v>
      </c>
      <c r="H6" s="56">
        <v>23</v>
      </c>
      <c r="I6" s="56">
        <v>62</v>
      </c>
      <c r="J6" s="56">
        <v>29</v>
      </c>
      <c r="K6" s="56">
        <v>20</v>
      </c>
      <c r="L6" s="56">
        <v>23</v>
      </c>
      <c r="M6" s="56">
        <v>56</v>
      </c>
      <c r="N6" s="56">
        <v>27</v>
      </c>
      <c r="O6" s="56">
        <v>23</v>
      </c>
      <c r="P6" s="56">
        <v>23</v>
      </c>
      <c r="Q6" s="56">
        <v>62</v>
      </c>
      <c r="R6" s="56">
        <v>27</v>
      </c>
      <c r="S6" s="56">
        <v>20</v>
      </c>
      <c r="T6" s="56">
        <v>23</v>
      </c>
      <c r="U6" s="56">
        <v>47</v>
      </c>
      <c r="V6" s="56">
        <v>28</v>
      </c>
      <c r="W6" s="56">
        <v>21</v>
      </c>
      <c r="X6" s="56">
        <v>21</v>
      </c>
      <c r="Y6" s="56">
        <v>648</v>
      </c>
      <c r="Z6" s="57">
        <v>86.4</v>
      </c>
      <c r="AA6" s="58" t="s">
        <v>85</v>
      </c>
      <c r="AB6" s="6"/>
      <c r="AC6" s="6"/>
      <c r="AD6" s="6"/>
      <c r="AE6" s="6"/>
      <c r="AF6" s="6"/>
      <c r="AG6" s="6"/>
      <c r="AH6" s="6"/>
      <c r="AI6" s="6"/>
      <c r="AJ6" s="6"/>
      <c r="AK6" s="6"/>
    </row>
    <row r="7" spans="1:37" ht="19.5" customHeight="1" x14ac:dyDescent="0.3">
      <c r="A7" s="53">
        <v>2271</v>
      </c>
      <c r="B7" s="53">
        <v>2200270163</v>
      </c>
      <c r="C7" s="54">
        <v>108885</v>
      </c>
      <c r="D7" s="73" t="s">
        <v>86</v>
      </c>
      <c r="E7" s="56">
        <v>34</v>
      </c>
      <c r="F7" s="56">
        <v>22</v>
      </c>
      <c r="G7" s="56">
        <v>19</v>
      </c>
      <c r="H7" s="56">
        <v>23</v>
      </c>
      <c r="I7" s="56">
        <v>52</v>
      </c>
      <c r="J7" s="56">
        <v>20</v>
      </c>
      <c r="K7" s="56">
        <v>14</v>
      </c>
      <c r="L7" s="55">
        <v>19</v>
      </c>
      <c r="M7" s="56">
        <v>42</v>
      </c>
      <c r="N7" s="56">
        <v>20</v>
      </c>
      <c r="O7" s="56">
        <v>18</v>
      </c>
      <c r="P7" s="56">
        <v>20</v>
      </c>
      <c r="Q7" s="56">
        <v>39</v>
      </c>
      <c r="R7" s="56">
        <v>20</v>
      </c>
      <c r="S7" s="56">
        <v>18</v>
      </c>
      <c r="T7" s="56">
        <v>20</v>
      </c>
      <c r="U7" s="56">
        <v>36</v>
      </c>
      <c r="V7" s="56">
        <v>19</v>
      </c>
      <c r="W7" s="56">
        <v>15</v>
      </c>
      <c r="X7" s="56">
        <v>19</v>
      </c>
      <c r="Y7" s="56">
        <v>489</v>
      </c>
      <c r="Z7" s="57">
        <v>65.2</v>
      </c>
      <c r="AA7" s="74" t="s">
        <v>166</v>
      </c>
      <c r="AB7" s="6"/>
      <c r="AC7" s="6"/>
      <c r="AD7" s="6"/>
      <c r="AE7" s="6"/>
      <c r="AF7" s="6"/>
      <c r="AG7" s="6"/>
      <c r="AH7" s="6"/>
      <c r="AI7" s="6"/>
      <c r="AJ7" s="6"/>
      <c r="AK7" s="6"/>
    </row>
    <row r="8" spans="1:37" ht="19.5" customHeight="1" x14ac:dyDescent="0.3">
      <c r="A8" s="53">
        <v>2272</v>
      </c>
      <c r="B8" s="53">
        <v>2200270254</v>
      </c>
      <c r="C8" s="54">
        <v>108968</v>
      </c>
      <c r="D8" s="46" t="s">
        <v>87</v>
      </c>
      <c r="E8" s="56">
        <v>62</v>
      </c>
      <c r="F8" s="56">
        <v>28</v>
      </c>
      <c r="G8" s="56">
        <v>22</v>
      </c>
      <c r="H8" s="56">
        <v>22</v>
      </c>
      <c r="I8" s="56">
        <v>66</v>
      </c>
      <c r="J8" s="56">
        <v>28</v>
      </c>
      <c r="K8" s="56">
        <v>23</v>
      </c>
      <c r="L8" s="56">
        <v>23</v>
      </c>
      <c r="M8" s="56">
        <v>55</v>
      </c>
      <c r="N8" s="56">
        <v>27</v>
      </c>
      <c r="O8" s="56">
        <v>23</v>
      </c>
      <c r="P8" s="56">
        <v>23</v>
      </c>
      <c r="Q8" s="56">
        <v>61</v>
      </c>
      <c r="R8" s="56">
        <v>29</v>
      </c>
      <c r="S8" s="56">
        <v>24</v>
      </c>
      <c r="T8" s="56">
        <v>24</v>
      </c>
      <c r="U8" s="56">
        <v>55</v>
      </c>
      <c r="V8" s="56">
        <v>28</v>
      </c>
      <c r="W8" s="56">
        <v>21</v>
      </c>
      <c r="X8" s="56">
        <v>22</v>
      </c>
      <c r="Y8" s="56">
        <v>666</v>
      </c>
      <c r="Z8" s="57">
        <v>88.8</v>
      </c>
      <c r="AA8" s="74" t="s">
        <v>85</v>
      </c>
      <c r="AB8" s="6"/>
      <c r="AC8" s="6"/>
      <c r="AD8" s="6"/>
      <c r="AE8" s="6"/>
      <c r="AF8" s="6"/>
      <c r="AG8" s="6"/>
      <c r="AH8" s="6"/>
      <c r="AI8" s="6"/>
      <c r="AJ8" s="6"/>
      <c r="AK8" s="6"/>
    </row>
    <row r="9" spans="1:37" ht="19.5" customHeight="1" x14ac:dyDescent="0.3">
      <c r="A9" s="53">
        <v>2273</v>
      </c>
      <c r="B9" s="53">
        <v>2200270231</v>
      </c>
      <c r="C9" s="54">
        <v>108946</v>
      </c>
      <c r="D9" s="46" t="s">
        <v>88</v>
      </c>
      <c r="E9" s="56">
        <v>61</v>
      </c>
      <c r="F9" s="56">
        <v>26</v>
      </c>
      <c r="G9" s="56">
        <v>21</v>
      </c>
      <c r="H9" s="56">
        <v>22</v>
      </c>
      <c r="I9" s="56">
        <v>59</v>
      </c>
      <c r="J9" s="56">
        <v>28</v>
      </c>
      <c r="K9" s="56">
        <v>18</v>
      </c>
      <c r="L9" s="56">
        <v>23</v>
      </c>
      <c r="M9" s="56">
        <v>53</v>
      </c>
      <c r="N9" s="56">
        <v>28</v>
      </c>
      <c r="O9" s="56">
        <v>23</v>
      </c>
      <c r="P9" s="56">
        <v>22</v>
      </c>
      <c r="Q9" s="56">
        <v>62</v>
      </c>
      <c r="R9" s="56">
        <v>29</v>
      </c>
      <c r="S9" s="56">
        <v>20</v>
      </c>
      <c r="T9" s="56">
        <v>24</v>
      </c>
      <c r="U9" s="56">
        <v>51</v>
      </c>
      <c r="V9" s="56">
        <v>26</v>
      </c>
      <c r="W9" s="56">
        <v>20</v>
      </c>
      <c r="X9" s="56">
        <v>20</v>
      </c>
      <c r="Y9" s="56">
        <v>636</v>
      </c>
      <c r="Z9" s="57">
        <v>84.8</v>
      </c>
      <c r="AA9" s="74" t="s">
        <v>85</v>
      </c>
      <c r="AB9" s="6"/>
      <c r="AC9" s="6"/>
      <c r="AD9" s="6"/>
      <c r="AE9" s="6"/>
      <c r="AF9" s="6"/>
      <c r="AG9" s="6"/>
      <c r="AH9" s="6"/>
      <c r="AI9" s="6"/>
      <c r="AJ9" s="6"/>
      <c r="AK9" s="6"/>
    </row>
    <row r="10" spans="1:37" ht="19.5" customHeight="1" x14ac:dyDescent="0.3">
      <c r="A10" s="53">
        <v>2274</v>
      </c>
      <c r="B10" s="53">
        <v>2200270256</v>
      </c>
      <c r="C10" s="54">
        <v>108970</v>
      </c>
      <c r="D10" s="46" t="s">
        <v>89</v>
      </c>
      <c r="E10" s="56">
        <v>48</v>
      </c>
      <c r="F10" s="56">
        <v>24</v>
      </c>
      <c r="G10" s="56">
        <v>19</v>
      </c>
      <c r="H10" s="56">
        <v>20</v>
      </c>
      <c r="I10" s="56">
        <v>54</v>
      </c>
      <c r="J10" s="56">
        <v>28</v>
      </c>
      <c r="K10" s="56">
        <v>20</v>
      </c>
      <c r="L10" s="56">
        <v>22</v>
      </c>
      <c r="M10" s="56">
        <v>48</v>
      </c>
      <c r="N10" s="56">
        <v>19</v>
      </c>
      <c r="O10" s="56">
        <v>18</v>
      </c>
      <c r="P10" s="56">
        <v>19</v>
      </c>
      <c r="Q10" s="56">
        <v>33</v>
      </c>
      <c r="R10" s="56">
        <v>19</v>
      </c>
      <c r="S10" s="56">
        <v>15</v>
      </c>
      <c r="T10" s="56">
        <v>18</v>
      </c>
      <c r="U10" s="56">
        <v>50</v>
      </c>
      <c r="V10" s="56">
        <v>25</v>
      </c>
      <c r="W10" s="56">
        <v>19</v>
      </c>
      <c r="X10" s="56">
        <v>21</v>
      </c>
      <c r="Y10" s="56">
        <v>539</v>
      </c>
      <c r="Z10" s="57">
        <v>71.87</v>
      </c>
      <c r="AA10" s="74" t="s">
        <v>166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 spans="1:37" ht="19.5" customHeight="1" x14ac:dyDescent="0.3">
      <c r="A11" s="53">
        <v>2275</v>
      </c>
      <c r="B11" s="53">
        <v>2200270171</v>
      </c>
      <c r="C11" s="54">
        <v>108891</v>
      </c>
      <c r="D11" s="46" t="s">
        <v>90</v>
      </c>
      <c r="E11" s="56">
        <v>43</v>
      </c>
      <c r="F11" s="56">
        <v>21</v>
      </c>
      <c r="G11" s="56">
        <v>21</v>
      </c>
      <c r="H11" s="56">
        <v>20</v>
      </c>
      <c r="I11" s="56">
        <v>58</v>
      </c>
      <c r="J11" s="56">
        <v>27</v>
      </c>
      <c r="K11" s="56">
        <v>20</v>
      </c>
      <c r="L11" s="56">
        <v>20</v>
      </c>
      <c r="M11" s="56">
        <v>38</v>
      </c>
      <c r="N11" s="56">
        <v>22</v>
      </c>
      <c r="O11" s="56">
        <v>21</v>
      </c>
      <c r="P11" s="56">
        <v>19</v>
      </c>
      <c r="Q11" s="56">
        <v>51</v>
      </c>
      <c r="R11" s="56">
        <v>26</v>
      </c>
      <c r="S11" s="56">
        <v>13</v>
      </c>
      <c r="T11" s="56">
        <v>22</v>
      </c>
      <c r="U11" s="56">
        <v>37</v>
      </c>
      <c r="V11" s="56">
        <v>25</v>
      </c>
      <c r="W11" s="56">
        <v>21</v>
      </c>
      <c r="X11" s="56">
        <v>19</v>
      </c>
      <c r="Y11" s="56">
        <v>544</v>
      </c>
      <c r="Z11" s="57">
        <v>72.53</v>
      </c>
      <c r="AA11" s="74" t="s">
        <v>166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 spans="1:37" ht="19.5" customHeight="1" x14ac:dyDescent="0.3">
      <c r="A12" s="53">
        <v>2276</v>
      </c>
      <c r="B12" s="53">
        <v>2200270241</v>
      </c>
      <c r="C12" s="54">
        <v>108955</v>
      </c>
      <c r="D12" s="46" t="s">
        <v>91</v>
      </c>
      <c r="E12" s="56">
        <v>41</v>
      </c>
      <c r="F12" s="56">
        <v>23</v>
      </c>
      <c r="G12" s="56">
        <v>19</v>
      </c>
      <c r="H12" s="56">
        <v>21</v>
      </c>
      <c r="I12" s="56">
        <v>46</v>
      </c>
      <c r="J12" s="56">
        <v>25</v>
      </c>
      <c r="K12" s="56">
        <v>19</v>
      </c>
      <c r="L12" s="55">
        <v>20</v>
      </c>
      <c r="M12" s="56">
        <v>36</v>
      </c>
      <c r="N12" s="56">
        <v>20</v>
      </c>
      <c r="O12" s="56">
        <v>17</v>
      </c>
      <c r="P12" s="56">
        <v>20</v>
      </c>
      <c r="Q12" s="56">
        <v>34</v>
      </c>
      <c r="R12" s="56">
        <v>21</v>
      </c>
      <c r="S12" s="56">
        <v>18</v>
      </c>
      <c r="T12" s="56">
        <v>19</v>
      </c>
      <c r="U12" s="56">
        <v>42</v>
      </c>
      <c r="V12" s="56">
        <v>25</v>
      </c>
      <c r="W12" s="56">
        <v>19</v>
      </c>
      <c r="X12" s="56">
        <v>20</v>
      </c>
      <c r="Y12" s="56">
        <v>505</v>
      </c>
      <c r="Z12" s="57">
        <v>67.33</v>
      </c>
      <c r="AA12" s="74" t="s">
        <v>166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 spans="1:37" ht="19.5" customHeight="1" x14ac:dyDescent="0.3">
      <c r="A13" s="53">
        <v>2277</v>
      </c>
      <c r="B13" s="53">
        <v>2200270156</v>
      </c>
      <c r="C13" s="54">
        <v>108879</v>
      </c>
      <c r="D13" s="46" t="s">
        <v>92</v>
      </c>
      <c r="E13" s="56">
        <v>40</v>
      </c>
      <c r="F13" s="56">
        <v>21</v>
      </c>
      <c r="G13" s="56">
        <v>18</v>
      </c>
      <c r="H13" s="56">
        <v>21</v>
      </c>
      <c r="I13" s="56">
        <v>53</v>
      </c>
      <c r="J13" s="56">
        <v>25</v>
      </c>
      <c r="K13" s="56">
        <v>19</v>
      </c>
      <c r="L13" s="56">
        <v>19</v>
      </c>
      <c r="M13" s="56">
        <v>45</v>
      </c>
      <c r="N13" s="56">
        <v>21</v>
      </c>
      <c r="O13" s="56">
        <v>17</v>
      </c>
      <c r="P13" s="56">
        <v>19</v>
      </c>
      <c r="Q13" s="56">
        <v>50</v>
      </c>
      <c r="R13" s="56">
        <v>24</v>
      </c>
      <c r="S13" s="56">
        <v>20</v>
      </c>
      <c r="T13" s="56">
        <v>22</v>
      </c>
      <c r="U13" s="56">
        <v>37</v>
      </c>
      <c r="V13" s="56">
        <v>24</v>
      </c>
      <c r="W13" s="56">
        <v>18</v>
      </c>
      <c r="X13" s="56">
        <v>18</v>
      </c>
      <c r="Y13" s="56">
        <v>531</v>
      </c>
      <c r="Z13" s="57">
        <v>70.8</v>
      </c>
      <c r="AA13" s="74" t="s">
        <v>166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 spans="1:37" ht="19.5" customHeight="1" x14ac:dyDescent="0.3">
      <c r="A14" s="53">
        <v>2278</v>
      </c>
      <c r="B14" s="53">
        <v>2200270278</v>
      </c>
      <c r="C14" s="54">
        <v>108991</v>
      </c>
      <c r="D14" s="46" t="s">
        <v>93</v>
      </c>
      <c r="E14" s="75" t="s">
        <v>167</v>
      </c>
      <c r="F14" s="56">
        <v>18</v>
      </c>
      <c r="G14" s="56">
        <v>20</v>
      </c>
      <c r="H14" s="56">
        <v>21</v>
      </c>
      <c r="I14" s="56">
        <v>58</v>
      </c>
      <c r="J14" s="56">
        <v>22</v>
      </c>
      <c r="K14" s="56">
        <v>13</v>
      </c>
      <c r="L14" s="56">
        <v>17</v>
      </c>
      <c r="M14" s="56">
        <v>37</v>
      </c>
      <c r="N14" s="56">
        <v>16</v>
      </c>
      <c r="O14" s="56">
        <v>11</v>
      </c>
      <c r="P14" s="56">
        <v>11</v>
      </c>
      <c r="Q14" s="56">
        <v>31</v>
      </c>
      <c r="R14" s="56">
        <v>14</v>
      </c>
      <c r="S14" s="56">
        <v>13</v>
      </c>
      <c r="T14" s="56">
        <v>18</v>
      </c>
      <c r="U14" s="56">
        <v>33</v>
      </c>
      <c r="V14" s="56">
        <v>20</v>
      </c>
      <c r="W14" s="56">
        <v>16</v>
      </c>
      <c r="X14" s="56">
        <v>16</v>
      </c>
      <c r="Y14" s="56">
        <v>418</v>
      </c>
      <c r="Z14" s="76"/>
      <c r="AA14" s="74" t="s">
        <v>166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 spans="1:37" ht="19.5" customHeight="1" x14ac:dyDescent="0.3">
      <c r="A15" s="53">
        <v>2279</v>
      </c>
      <c r="B15" s="53">
        <v>2200270147</v>
      </c>
      <c r="C15" s="54">
        <v>108870</v>
      </c>
      <c r="D15" s="46" t="s">
        <v>94</v>
      </c>
      <c r="E15" s="56">
        <v>47</v>
      </c>
      <c r="F15" s="56">
        <v>24</v>
      </c>
      <c r="G15" s="56">
        <v>18</v>
      </c>
      <c r="H15" s="56">
        <v>22</v>
      </c>
      <c r="I15" s="56">
        <v>57</v>
      </c>
      <c r="J15" s="56">
        <v>28</v>
      </c>
      <c r="K15" s="56">
        <v>21</v>
      </c>
      <c r="L15" s="56">
        <v>21</v>
      </c>
      <c r="M15" s="56">
        <v>40</v>
      </c>
      <c r="N15" s="56">
        <v>21</v>
      </c>
      <c r="O15" s="56">
        <v>15</v>
      </c>
      <c r="P15" s="56">
        <v>19</v>
      </c>
      <c r="Q15" s="56">
        <v>45</v>
      </c>
      <c r="R15" s="56">
        <v>21</v>
      </c>
      <c r="S15" s="56">
        <v>18</v>
      </c>
      <c r="T15" s="56">
        <v>18</v>
      </c>
      <c r="U15" s="56">
        <v>46</v>
      </c>
      <c r="V15" s="56">
        <v>26</v>
      </c>
      <c r="W15" s="56">
        <v>19</v>
      </c>
      <c r="X15" s="56">
        <v>20</v>
      </c>
      <c r="Y15" s="56">
        <v>546</v>
      </c>
      <c r="Z15" s="57">
        <v>72.8</v>
      </c>
      <c r="AA15" s="74" t="s">
        <v>166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 spans="1:37" ht="19.5" customHeight="1" x14ac:dyDescent="0.3">
      <c r="A16" s="53">
        <v>2280</v>
      </c>
      <c r="B16" s="53">
        <v>2200270148</v>
      </c>
      <c r="C16" s="54">
        <v>108871</v>
      </c>
      <c r="D16" s="46" t="s">
        <v>95</v>
      </c>
      <c r="E16" s="56">
        <v>62</v>
      </c>
      <c r="F16" s="56">
        <v>29</v>
      </c>
      <c r="G16" s="75" t="s">
        <v>171</v>
      </c>
      <c r="H16" s="56">
        <v>23</v>
      </c>
      <c r="I16" s="55">
        <v>65</v>
      </c>
      <c r="J16" s="56">
        <v>29</v>
      </c>
      <c r="K16" s="56">
        <v>21</v>
      </c>
      <c r="L16" s="56">
        <v>23</v>
      </c>
      <c r="M16" s="56">
        <v>51</v>
      </c>
      <c r="N16" s="56">
        <v>24</v>
      </c>
      <c r="O16" s="56">
        <v>22</v>
      </c>
      <c r="P16" s="56">
        <v>22</v>
      </c>
      <c r="Q16" s="56">
        <v>61</v>
      </c>
      <c r="R16" s="56">
        <v>29</v>
      </c>
      <c r="S16" s="56">
        <v>24</v>
      </c>
      <c r="T16" s="56">
        <v>24</v>
      </c>
      <c r="U16" s="56">
        <v>54</v>
      </c>
      <c r="V16" s="56">
        <v>29</v>
      </c>
      <c r="W16" s="56">
        <v>22</v>
      </c>
      <c r="X16" s="56">
        <v>23</v>
      </c>
      <c r="Y16" s="56">
        <v>659</v>
      </c>
      <c r="Z16" s="57">
        <v>87.87</v>
      </c>
      <c r="AA16" s="74" t="s">
        <v>85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 spans="1:37" ht="19.5" customHeight="1" x14ac:dyDescent="0.3">
      <c r="A17" s="53">
        <v>2281</v>
      </c>
      <c r="B17" s="53">
        <v>2200270176</v>
      </c>
      <c r="C17" s="54">
        <v>108896</v>
      </c>
      <c r="D17" s="46" t="s">
        <v>96</v>
      </c>
      <c r="E17" s="56">
        <v>34</v>
      </c>
      <c r="F17" s="56">
        <v>22</v>
      </c>
      <c r="G17" s="56">
        <v>21</v>
      </c>
      <c r="H17" s="56">
        <v>22</v>
      </c>
      <c r="I17" s="56">
        <v>54</v>
      </c>
      <c r="J17" s="56">
        <v>26</v>
      </c>
      <c r="K17" s="56">
        <v>15</v>
      </c>
      <c r="L17" s="56">
        <v>20</v>
      </c>
      <c r="M17" s="56">
        <v>33</v>
      </c>
      <c r="N17" s="56">
        <v>22</v>
      </c>
      <c r="O17" s="56">
        <v>19</v>
      </c>
      <c r="P17" s="56">
        <v>17</v>
      </c>
      <c r="Q17" s="56">
        <v>31</v>
      </c>
      <c r="R17" s="56">
        <v>20</v>
      </c>
      <c r="S17" s="56">
        <v>22</v>
      </c>
      <c r="T17" s="56">
        <v>19</v>
      </c>
      <c r="U17" s="56">
        <v>35</v>
      </c>
      <c r="V17" s="56">
        <v>26</v>
      </c>
      <c r="W17" s="56">
        <v>20</v>
      </c>
      <c r="X17" s="56">
        <v>19</v>
      </c>
      <c r="Y17" s="56">
        <v>497</v>
      </c>
      <c r="Z17" s="57">
        <v>66.27</v>
      </c>
      <c r="AA17" s="74" t="s">
        <v>166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 spans="1:37" ht="19.5" customHeight="1" x14ac:dyDescent="0.3">
      <c r="A18" s="53">
        <v>2282</v>
      </c>
      <c r="B18" s="53">
        <v>2200270270</v>
      </c>
      <c r="C18" s="54">
        <v>108983</v>
      </c>
      <c r="D18" s="46" t="s">
        <v>97</v>
      </c>
      <c r="E18" s="56">
        <v>59</v>
      </c>
      <c r="F18" s="56">
        <v>26</v>
      </c>
      <c r="G18" s="56">
        <v>23</v>
      </c>
      <c r="H18" s="56">
        <v>23</v>
      </c>
      <c r="I18" s="56">
        <v>58</v>
      </c>
      <c r="J18" s="56">
        <v>29</v>
      </c>
      <c r="K18" s="56">
        <v>22</v>
      </c>
      <c r="L18" s="56">
        <v>23</v>
      </c>
      <c r="M18" s="56">
        <v>49</v>
      </c>
      <c r="N18" s="56">
        <v>21</v>
      </c>
      <c r="O18" s="56">
        <v>20</v>
      </c>
      <c r="P18" s="56">
        <v>22</v>
      </c>
      <c r="Q18" s="56">
        <v>57</v>
      </c>
      <c r="R18" s="56">
        <v>25</v>
      </c>
      <c r="S18" s="56">
        <v>22</v>
      </c>
      <c r="T18" s="56">
        <v>20</v>
      </c>
      <c r="U18" s="56">
        <v>43</v>
      </c>
      <c r="V18" s="56">
        <v>28</v>
      </c>
      <c r="W18" s="56">
        <v>18</v>
      </c>
      <c r="X18" s="56">
        <v>20</v>
      </c>
      <c r="Y18" s="56">
        <v>608</v>
      </c>
      <c r="Z18" s="57">
        <v>81.069999999999993</v>
      </c>
      <c r="AA18" s="74" t="s">
        <v>85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 spans="1:37" ht="19.5" customHeight="1" x14ac:dyDescent="0.3">
      <c r="A19" s="53">
        <v>2283</v>
      </c>
      <c r="B19" s="53">
        <v>2200270276</v>
      </c>
      <c r="C19" s="54">
        <v>108989</v>
      </c>
      <c r="D19" s="46" t="s">
        <v>98</v>
      </c>
      <c r="E19" s="56">
        <v>63</v>
      </c>
      <c r="F19" s="56">
        <v>28</v>
      </c>
      <c r="G19" s="56">
        <v>23</v>
      </c>
      <c r="H19" s="56">
        <v>23</v>
      </c>
      <c r="I19" s="55">
        <v>61</v>
      </c>
      <c r="J19" s="56">
        <v>29</v>
      </c>
      <c r="K19" s="56">
        <v>23</v>
      </c>
      <c r="L19" s="56">
        <v>24</v>
      </c>
      <c r="M19" s="56">
        <v>54</v>
      </c>
      <c r="N19" s="56">
        <v>27</v>
      </c>
      <c r="O19" s="56">
        <v>23</v>
      </c>
      <c r="P19" s="56">
        <v>23</v>
      </c>
      <c r="Q19" s="56">
        <v>60</v>
      </c>
      <c r="R19" s="56">
        <v>29</v>
      </c>
      <c r="S19" s="56">
        <v>24</v>
      </c>
      <c r="T19" s="56">
        <v>24</v>
      </c>
      <c r="U19" s="56">
        <v>49</v>
      </c>
      <c r="V19" s="56">
        <v>28</v>
      </c>
      <c r="W19" s="56">
        <v>20</v>
      </c>
      <c r="X19" s="56">
        <v>22</v>
      </c>
      <c r="Y19" s="56">
        <v>657</v>
      </c>
      <c r="Z19" s="57">
        <v>87.6</v>
      </c>
      <c r="AA19" s="74" t="s">
        <v>85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1:37" ht="19.5" customHeight="1" x14ac:dyDescent="0.3">
      <c r="A20" s="53">
        <v>2284</v>
      </c>
      <c r="B20" s="53">
        <v>2200270159</v>
      </c>
      <c r="C20" s="54">
        <v>108882</v>
      </c>
      <c r="D20" s="46" t="s">
        <v>99</v>
      </c>
      <c r="E20" s="56">
        <v>30</v>
      </c>
      <c r="F20" s="56">
        <v>21</v>
      </c>
      <c r="G20" s="75" t="s">
        <v>171</v>
      </c>
      <c r="H20" s="56">
        <v>23</v>
      </c>
      <c r="I20" s="55">
        <v>54</v>
      </c>
      <c r="J20" s="56">
        <v>26</v>
      </c>
      <c r="K20" s="56">
        <v>20</v>
      </c>
      <c r="L20" s="56">
        <v>22</v>
      </c>
      <c r="M20" s="56">
        <v>46</v>
      </c>
      <c r="N20" s="56">
        <v>19</v>
      </c>
      <c r="O20" s="56">
        <v>18</v>
      </c>
      <c r="P20" s="56">
        <v>17</v>
      </c>
      <c r="Q20" s="56">
        <v>36</v>
      </c>
      <c r="R20" s="56">
        <v>24</v>
      </c>
      <c r="S20" s="56">
        <v>22</v>
      </c>
      <c r="T20" s="56">
        <v>21</v>
      </c>
      <c r="U20" s="56">
        <v>34</v>
      </c>
      <c r="V20" s="56">
        <v>27</v>
      </c>
      <c r="W20" s="56">
        <v>18</v>
      </c>
      <c r="X20" s="56">
        <v>21</v>
      </c>
      <c r="Y20" s="56">
        <v>521</v>
      </c>
      <c r="Z20" s="57">
        <v>69.47</v>
      </c>
      <c r="AA20" s="74" t="s">
        <v>166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1:37" ht="19.5" customHeight="1" x14ac:dyDescent="0.3">
      <c r="A21" s="53">
        <v>2285</v>
      </c>
      <c r="B21" s="53">
        <v>2200270287</v>
      </c>
      <c r="C21" s="54">
        <v>108999</v>
      </c>
      <c r="D21" s="46" t="s">
        <v>100</v>
      </c>
      <c r="E21" s="75" t="s">
        <v>169</v>
      </c>
      <c r="F21" s="56">
        <v>19</v>
      </c>
      <c r="G21" s="56">
        <v>21</v>
      </c>
      <c r="H21" s="56">
        <v>23</v>
      </c>
      <c r="I21" s="55">
        <v>53</v>
      </c>
      <c r="J21" s="56">
        <v>26</v>
      </c>
      <c r="K21" s="56">
        <v>19</v>
      </c>
      <c r="L21" s="56">
        <v>22</v>
      </c>
      <c r="M21" s="56">
        <v>46</v>
      </c>
      <c r="N21" s="56">
        <v>18</v>
      </c>
      <c r="O21" s="56">
        <v>20</v>
      </c>
      <c r="P21" s="56">
        <v>19</v>
      </c>
      <c r="Q21" s="56">
        <v>28</v>
      </c>
      <c r="R21" s="56">
        <v>20</v>
      </c>
      <c r="S21" s="56">
        <v>22</v>
      </c>
      <c r="T21" s="56">
        <v>20</v>
      </c>
      <c r="U21" s="75" t="s">
        <v>170</v>
      </c>
      <c r="V21" s="56">
        <v>24</v>
      </c>
      <c r="W21" s="56">
        <v>15</v>
      </c>
      <c r="X21" s="56">
        <v>17</v>
      </c>
      <c r="Y21" s="56">
        <v>473</v>
      </c>
      <c r="Z21" s="57"/>
      <c r="AA21" s="74" t="s">
        <v>174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 spans="1:37" ht="19.5" customHeight="1" x14ac:dyDescent="0.3">
      <c r="A22" s="53">
        <v>2286</v>
      </c>
      <c r="B22" s="53">
        <v>2200270160</v>
      </c>
      <c r="C22" s="54">
        <v>108883</v>
      </c>
      <c r="D22" s="46" t="s">
        <v>101</v>
      </c>
      <c r="E22" s="56">
        <v>28</v>
      </c>
      <c r="F22" s="56">
        <v>21</v>
      </c>
      <c r="G22" s="56">
        <v>19</v>
      </c>
      <c r="H22" s="56">
        <v>24</v>
      </c>
      <c r="I22" s="55">
        <v>49</v>
      </c>
      <c r="J22" s="56">
        <v>23</v>
      </c>
      <c r="K22" s="56">
        <v>18</v>
      </c>
      <c r="L22" s="56">
        <v>18</v>
      </c>
      <c r="M22" s="56">
        <v>31</v>
      </c>
      <c r="N22" s="56">
        <v>16</v>
      </c>
      <c r="O22" s="56">
        <v>15</v>
      </c>
      <c r="P22" s="56">
        <v>20</v>
      </c>
      <c r="Q22" s="56">
        <v>29</v>
      </c>
      <c r="R22" s="56">
        <v>20</v>
      </c>
      <c r="S22" s="56">
        <v>15</v>
      </c>
      <c r="T22" s="56">
        <v>18</v>
      </c>
      <c r="U22" s="56">
        <v>37</v>
      </c>
      <c r="V22" s="56">
        <v>21</v>
      </c>
      <c r="W22" s="56">
        <v>16</v>
      </c>
      <c r="X22" s="56">
        <v>18</v>
      </c>
      <c r="Y22" s="56">
        <v>456</v>
      </c>
      <c r="Z22" s="57">
        <v>60.8</v>
      </c>
      <c r="AA22" s="74" t="s">
        <v>166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spans="1:37" ht="19.5" customHeight="1" x14ac:dyDescent="0.3">
      <c r="A23" s="53">
        <v>2287</v>
      </c>
      <c r="B23" s="53">
        <v>2200270149</v>
      </c>
      <c r="C23" s="54">
        <v>108872</v>
      </c>
      <c r="D23" s="46" t="s">
        <v>102</v>
      </c>
      <c r="E23" s="56">
        <v>59</v>
      </c>
      <c r="F23" s="56">
        <v>23</v>
      </c>
      <c r="G23" s="56">
        <v>18</v>
      </c>
      <c r="H23" s="56">
        <v>22</v>
      </c>
      <c r="I23" s="55">
        <v>58</v>
      </c>
      <c r="J23" s="56">
        <v>27</v>
      </c>
      <c r="K23" s="56">
        <v>17</v>
      </c>
      <c r="L23" s="56">
        <v>22</v>
      </c>
      <c r="M23" s="56">
        <v>54</v>
      </c>
      <c r="N23" s="56">
        <v>21</v>
      </c>
      <c r="O23" s="56">
        <v>19</v>
      </c>
      <c r="P23" s="56">
        <v>20</v>
      </c>
      <c r="Q23" s="56">
        <v>64</v>
      </c>
      <c r="R23" s="56">
        <v>27</v>
      </c>
      <c r="S23" s="56">
        <v>21</v>
      </c>
      <c r="T23" s="56">
        <v>22</v>
      </c>
      <c r="U23" s="56">
        <v>45</v>
      </c>
      <c r="V23" s="56">
        <v>28</v>
      </c>
      <c r="W23" s="56">
        <v>18</v>
      </c>
      <c r="X23" s="56">
        <v>21</v>
      </c>
      <c r="Y23" s="56">
        <v>606</v>
      </c>
      <c r="Z23" s="57">
        <v>80.8</v>
      </c>
      <c r="AA23" s="74" t="s">
        <v>85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 spans="1:37" ht="19.5" customHeight="1" x14ac:dyDescent="0.3">
      <c r="A24" s="53">
        <v>2288</v>
      </c>
      <c r="B24" s="53">
        <v>2200270282</v>
      </c>
      <c r="C24" s="54">
        <v>108995</v>
      </c>
      <c r="D24" s="46" t="s">
        <v>103</v>
      </c>
      <c r="E24" s="75" t="s">
        <v>171</v>
      </c>
      <c r="F24" s="56">
        <v>23</v>
      </c>
      <c r="G24" s="56">
        <v>17</v>
      </c>
      <c r="H24" s="56">
        <v>22</v>
      </c>
      <c r="I24" s="55">
        <v>40</v>
      </c>
      <c r="J24" s="56">
        <v>20</v>
      </c>
      <c r="K24" s="56">
        <v>17</v>
      </c>
      <c r="L24" s="56">
        <v>18</v>
      </c>
      <c r="M24" s="56">
        <v>31</v>
      </c>
      <c r="N24" s="56">
        <v>15</v>
      </c>
      <c r="O24" s="56">
        <v>16</v>
      </c>
      <c r="P24" s="56">
        <v>19</v>
      </c>
      <c r="Q24" s="75" t="s">
        <v>171</v>
      </c>
      <c r="R24" s="56">
        <v>21</v>
      </c>
      <c r="S24" s="56">
        <v>13</v>
      </c>
      <c r="T24" s="56">
        <v>18</v>
      </c>
      <c r="U24" s="56">
        <v>41</v>
      </c>
      <c r="V24" s="56">
        <v>23</v>
      </c>
      <c r="W24" s="56">
        <v>18</v>
      </c>
      <c r="X24" s="56">
        <v>18</v>
      </c>
      <c r="Y24" s="56">
        <v>434</v>
      </c>
      <c r="Z24" s="57"/>
      <c r="AA24" s="74" t="s">
        <v>174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spans="1:37" ht="19.5" customHeight="1" x14ac:dyDescent="0.3">
      <c r="A25" s="53">
        <v>2289</v>
      </c>
      <c r="B25" s="53">
        <v>2200270259</v>
      </c>
      <c r="C25" s="54">
        <v>108973</v>
      </c>
      <c r="D25" s="46" t="s">
        <v>104</v>
      </c>
      <c r="E25" s="75" t="s">
        <v>170</v>
      </c>
      <c r="F25" s="56">
        <v>18</v>
      </c>
      <c r="G25" s="56">
        <v>19</v>
      </c>
      <c r="H25" s="56">
        <v>22</v>
      </c>
      <c r="I25" s="55">
        <v>47</v>
      </c>
      <c r="J25" s="56">
        <v>25</v>
      </c>
      <c r="K25" s="56">
        <v>20</v>
      </c>
      <c r="L25" s="56">
        <v>20</v>
      </c>
      <c r="M25" s="56">
        <v>40</v>
      </c>
      <c r="N25" s="56">
        <v>21</v>
      </c>
      <c r="O25" s="56">
        <v>20</v>
      </c>
      <c r="P25" s="56">
        <v>20</v>
      </c>
      <c r="Q25" s="75" t="s">
        <v>172</v>
      </c>
      <c r="R25" s="56">
        <v>25</v>
      </c>
      <c r="S25" s="56">
        <v>20</v>
      </c>
      <c r="T25" s="56">
        <v>22</v>
      </c>
      <c r="U25" s="75" t="s">
        <v>173</v>
      </c>
      <c r="V25" s="56">
        <v>22</v>
      </c>
      <c r="W25" s="56">
        <v>18</v>
      </c>
      <c r="X25" s="56">
        <v>20</v>
      </c>
      <c r="Y25" s="56">
        <v>465</v>
      </c>
      <c r="Z25" s="57"/>
      <c r="AA25" s="74" t="s">
        <v>174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 spans="1:37" ht="19.5" customHeight="1" x14ac:dyDescent="0.3">
      <c r="A26" s="53">
        <v>2290</v>
      </c>
      <c r="B26" s="53">
        <v>2200270150</v>
      </c>
      <c r="C26" s="54">
        <v>108873</v>
      </c>
      <c r="D26" s="46" t="s">
        <v>105</v>
      </c>
      <c r="E26" s="56">
        <v>41</v>
      </c>
      <c r="F26" s="56">
        <v>24</v>
      </c>
      <c r="G26" s="56">
        <v>21</v>
      </c>
      <c r="H26" s="56">
        <v>22</v>
      </c>
      <c r="I26" s="55">
        <v>56</v>
      </c>
      <c r="J26" s="56">
        <v>28</v>
      </c>
      <c r="K26" s="56">
        <v>20</v>
      </c>
      <c r="L26" s="56">
        <v>22</v>
      </c>
      <c r="M26" s="56">
        <v>43</v>
      </c>
      <c r="N26" s="56">
        <v>23</v>
      </c>
      <c r="O26" s="56">
        <v>20</v>
      </c>
      <c r="P26" s="56">
        <v>20</v>
      </c>
      <c r="Q26" s="56">
        <v>46</v>
      </c>
      <c r="R26" s="56">
        <v>26</v>
      </c>
      <c r="S26" s="56">
        <v>18</v>
      </c>
      <c r="T26" s="56">
        <v>22</v>
      </c>
      <c r="U26" s="56">
        <v>56</v>
      </c>
      <c r="V26" s="56">
        <v>25</v>
      </c>
      <c r="W26" s="56">
        <v>20</v>
      </c>
      <c r="X26" s="56">
        <v>20</v>
      </c>
      <c r="Y26" s="77">
        <v>573</v>
      </c>
      <c r="Z26" s="57">
        <v>76.400000000000006</v>
      </c>
      <c r="AA26" s="74" t="s">
        <v>85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spans="1:37" ht="19.5" customHeight="1" x14ac:dyDescent="0.3">
      <c r="A27" s="53">
        <v>2291</v>
      </c>
      <c r="B27" s="53">
        <v>2200270302</v>
      </c>
      <c r="C27" s="54">
        <v>109014</v>
      </c>
      <c r="D27" s="46" t="s">
        <v>106</v>
      </c>
      <c r="E27" s="78" t="s">
        <v>172</v>
      </c>
      <c r="F27" s="56">
        <v>20</v>
      </c>
      <c r="G27" s="56">
        <v>19</v>
      </c>
      <c r="H27" s="56">
        <v>23</v>
      </c>
      <c r="I27" s="56">
        <v>41</v>
      </c>
      <c r="J27" s="56">
        <v>26</v>
      </c>
      <c r="K27" s="56">
        <v>19</v>
      </c>
      <c r="L27" s="56">
        <v>18</v>
      </c>
      <c r="M27" s="56">
        <v>31</v>
      </c>
      <c r="N27" s="56">
        <v>18</v>
      </c>
      <c r="O27" s="56">
        <v>18</v>
      </c>
      <c r="P27" s="56">
        <v>19</v>
      </c>
      <c r="Q27" s="56">
        <v>29</v>
      </c>
      <c r="R27" s="56">
        <v>18</v>
      </c>
      <c r="S27" s="56">
        <v>15</v>
      </c>
      <c r="T27" s="56">
        <v>18</v>
      </c>
      <c r="U27" s="75" t="s">
        <v>173</v>
      </c>
      <c r="V27" s="56">
        <v>20</v>
      </c>
      <c r="W27" s="56">
        <v>18</v>
      </c>
      <c r="X27" s="56">
        <v>18</v>
      </c>
      <c r="Y27" s="56">
        <v>430</v>
      </c>
      <c r="Z27" s="57"/>
      <c r="AA27" s="74" t="s">
        <v>179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 spans="1:37" ht="19.5" customHeight="1" x14ac:dyDescent="0.3">
      <c r="A28" s="53">
        <v>2292</v>
      </c>
      <c r="B28" s="53">
        <v>2200270250</v>
      </c>
      <c r="C28" s="54">
        <v>108964</v>
      </c>
      <c r="D28" s="46" t="s">
        <v>107</v>
      </c>
      <c r="E28" s="56">
        <v>28</v>
      </c>
      <c r="F28" s="56">
        <v>23</v>
      </c>
      <c r="G28" s="56">
        <v>20</v>
      </c>
      <c r="H28" s="56">
        <v>21</v>
      </c>
      <c r="I28" s="56">
        <v>48</v>
      </c>
      <c r="J28" s="56">
        <v>26</v>
      </c>
      <c r="K28" s="56">
        <v>19</v>
      </c>
      <c r="L28" s="56">
        <v>20</v>
      </c>
      <c r="M28" s="56">
        <v>45</v>
      </c>
      <c r="N28" s="56">
        <v>20</v>
      </c>
      <c r="O28" s="56">
        <v>18</v>
      </c>
      <c r="P28" s="56">
        <v>19</v>
      </c>
      <c r="Q28" s="56">
        <v>44</v>
      </c>
      <c r="R28" s="56">
        <v>19</v>
      </c>
      <c r="S28" s="56">
        <v>15</v>
      </c>
      <c r="T28" s="56">
        <v>19</v>
      </c>
      <c r="U28" s="56">
        <v>34</v>
      </c>
      <c r="V28" s="56">
        <v>22</v>
      </c>
      <c r="W28" s="56">
        <v>16</v>
      </c>
      <c r="X28" s="56">
        <v>18</v>
      </c>
      <c r="Y28" s="77">
        <v>494</v>
      </c>
      <c r="Z28" s="57">
        <v>65.87</v>
      </c>
      <c r="AA28" s="74" t="s">
        <v>166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spans="1:37" ht="19.5" customHeight="1" x14ac:dyDescent="0.3">
      <c r="A29" s="53">
        <v>2293</v>
      </c>
      <c r="B29" s="53">
        <v>2200270165</v>
      </c>
      <c r="C29" s="54">
        <v>108886</v>
      </c>
      <c r="D29" s="46" t="s">
        <v>108</v>
      </c>
      <c r="E29" s="56">
        <v>47</v>
      </c>
      <c r="F29" s="56">
        <v>23</v>
      </c>
      <c r="G29" s="56">
        <v>18</v>
      </c>
      <c r="H29" s="56">
        <v>20</v>
      </c>
      <c r="I29" s="56">
        <v>54</v>
      </c>
      <c r="J29" s="56">
        <v>27</v>
      </c>
      <c r="K29" s="56">
        <v>20</v>
      </c>
      <c r="L29" s="56">
        <v>18</v>
      </c>
      <c r="M29" s="56">
        <v>40</v>
      </c>
      <c r="N29" s="56">
        <v>23</v>
      </c>
      <c r="O29" s="56">
        <v>22</v>
      </c>
      <c r="P29" s="56">
        <v>20</v>
      </c>
      <c r="Q29" s="56">
        <v>48</v>
      </c>
      <c r="R29" s="56">
        <v>22</v>
      </c>
      <c r="S29" s="56">
        <v>20</v>
      </c>
      <c r="T29" s="56">
        <v>21</v>
      </c>
      <c r="U29" s="56">
        <v>38</v>
      </c>
      <c r="V29" s="56">
        <v>25</v>
      </c>
      <c r="W29" s="56">
        <v>20</v>
      </c>
      <c r="X29" s="56">
        <v>16</v>
      </c>
      <c r="Y29" s="56">
        <v>542</v>
      </c>
      <c r="Z29" s="57">
        <v>72.27</v>
      </c>
      <c r="AA29" s="74" t="s">
        <v>166</v>
      </c>
      <c r="AB29" s="59"/>
      <c r="AC29" s="6"/>
      <c r="AD29" s="6"/>
      <c r="AE29" s="6"/>
      <c r="AF29" s="6"/>
      <c r="AG29" s="6"/>
      <c r="AH29" s="6"/>
      <c r="AI29" s="6"/>
      <c r="AJ29" s="6"/>
      <c r="AK29" s="6"/>
    </row>
    <row r="30" spans="1:37" ht="19.5" customHeight="1" x14ac:dyDescent="0.3">
      <c r="A30" s="53">
        <v>2294</v>
      </c>
      <c r="B30" s="53">
        <v>2200270151</v>
      </c>
      <c r="C30" s="54">
        <v>108874</v>
      </c>
      <c r="D30" s="46" t="s">
        <v>109</v>
      </c>
      <c r="E30" s="56">
        <v>47</v>
      </c>
      <c r="F30" s="56">
        <v>27</v>
      </c>
      <c r="G30" s="56">
        <v>19</v>
      </c>
      <c r="H30" s="56">
        <v>22</v>
      </c>
      <c r="I30" s="56">
        <v>55</v>
      </c>
      <c r="J30" s="56">
        <v>28</v>
      </c>
      <c r="K30" s="56">
        <v>20</v>
      </c>
      <c r="L30" s="56">
        <v>21</v>
      </c>
      <c r="M30" s="56">
        <v>49</v>
      </c>
      <c r="N30" s="56">
        <v>26</v>
      </c>
      <c r="O30" s="56">
        <v>22</v>
      </c>
      <c r="P30" s="56">
        <v>22</v>
      </c>
      <c r="Q30" s="56">
        <v>46</v>
      </c>
      <c r="R30" s="56">
        <v>25</v>
      </c>
      <c r="S30" s="56">
        <v>20</v>
      </c>
      <c r="T30" s="56">
        <v>21</v>
      </c>
      <c r="U30" s="56">
        <v>53</v>
      </c>
      <c r="V30" s="56">
        <v>27</v>
      </c>
      <c r="W30" s="56">
        <v>21</v>
      </c>
      <c r="X30" s="56">
        <v>21</v>
      </c>
      <c r="Y30" s="56">
        <v>592</v>
      </c>
      <c r="Z30" s="57">
        <v>78.930000000000007</v>
      </c>
      <c r="AA30" s="74" t="s">
        <v>85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 spans="1:37" ht="19.5" customHeight="1" x14ac:dyDescent="0.3">
      <c r="A31" s="53">
        <v>2295</v>
      </c>
      <c r="B31" s="53">
        <v>2200270146</v>
      </c>
      <c r="C31" s="54">
        <v>108869</v>
      </c>
      <c r="D31" s="46" t="s">
        <v>110</v>
      </c>
      <c r="E31" s="79" t="s">
        <v>175</v>
      </c>
      <c r="F31" s="56">
        <v>26</v>
      </c>
      <c r="G31" s="56">
        <v>19</v>
      </c>
      <c r="H31" s="56">
        <v>24</v>
      </c>
      <c r="I31" s="56">
        <v>55</v>
      </c>
      <c r="J31" s="56">
        <v>25</v>
      </c>
      <c r="K31" s="56">
        <v>19</v>
      </c>
      <c r="L31" s="56">
        <v>18</v>
      </c>
      <c r="M31" s="56">
        <v>45</v>
      </c>
      <c r="N31" s="56">
        <v>22</v>
      </c>
      <c r="O31" s="56">
        <v>18</v>
      </c>
      <c r="P31" s="56">
        <v>19</v>
      </c>
      <c r="Q31" s="56">
        <v>37</v>
      </c>
      <c r="R31" s="56">
        <v>21</v>
      </c>
      <c r="S31" s="56">
        <v>15</v>
      </c>
      <c r="T31" s="56">
        <v>18</v>
      </c>
      <c r="U31" s="56">
        <v>42</v>
      </c>
      <c r="V31" s="56">
        <v>26</v>
      </c>
      <c r="W31" s="56">
        <v>17</v>
      </c>
      <c r="X31" s="56">
        <v>19</v>
      </c>
      <c r="Y31" s="56">
        <v>509</v>
      </c>
      <c r="Z31" s="57">
        <v>67.87</v>
      </c>
      <c r="AA31" s="74" t="s">
        <v>176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 spans="1:37" ht="19.5" customHeight="1" x14ac:dyDescent="0.3">
      <c r="A32" s="53">
        <v>2296</v>
      </c>
      <c r="B32" s="53">
        <v>2200270198</v>
      </c>
      <c r="C32" s="54">
        <v>108917</v>
      </c>
      <c r="D32" s="46" t="s">
        <v>111</v>
      </c>
      <c r="E32" s="55">
        <v>47</v>
      </c>
      <c r="F32" s="56">
        <v>27</v>
      </c>
      <c r="G32" s="56">
        <v>21</v>
      </c>
      <c r="H32" s="56">
        <v>23</v>
      </c>
      <c r="I32" s="55">
        <v>53</v>
      </c>
      <c r="J32" s="56">
        <v>27</v>
      </c>
      <c r="K32" s="56">
        <v>20</v>
      </c>
      <c r="L32" s="77">
        <v>20</v>
      </c>
      <c r="M32" s="56">
        <v>47</v>
      </c>
      <c r="N32" s="56">
        <v>21</v>
      </c>
      <c r="O32" s="56">
        <v>18</v>
      </c>
      <c r="P32" s="56">
        <v>19</v>
      </c>
      <c r="Q32" s="56">
        <v>48</v>
      </c>
      <c r="R32" s="56">
        <v>23</v>
      </c>
      <c r="S32" s="56">
        <v>22</v>
      </c>
      <c r="T32" s="56">
        <v>20</v>
      </c>
      <c r="U32" s="56">
        <v>51</v>
      </c>
      <c r="V32" s="56">
        <v>27</v>
      </c>
      <c r="W32" s="56">
        <v>18</v>
      </c>
      <c r="X32" s="56">
        <v>20</v>
      </c>
      <c r="Y32" s="56">
        <v>572</v>
      </c>
      <c r="Z32" s="57">
        <v>76.27</v>
      </c>
      <c r="AA32" s="74" t="s">
        <v>85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 spans="1:37" ht="19.5" customHeight="1" x14ac:dyDescent="0.3">
      <c r="A33" s="53">
        <v>2297</v>
      </c>
      <c r="B33" s="53">
        <v>2200270201</v>
      </c>
      <c r="C33" s="54">
        <v>108920</v>
      </c>
      <c r="D33" s="46" t="s">
        <v>112</v>
      </c>
      <c r="E33" s="56">
        <v>52</v>
      </c>
      <c r="F33" s="56">
        <v>24</v>
      </c>
      <c r="G33" s="56">
        <v>20</v>
      </c>
      <c r="H33" s="56">
        <v>21</v>
      </c>
      <c r="I33" s="56">
        <v>59</v>
      </c>
      <c r="J33" s="56">
        <v>25</v>
      </c>
      <c r="K33" s="56">
        <v>18</v>
      </c>
      <c r="L33" s="56">
        <v>21</v>
      </c>
      <c r="M33" s="56">
        <v>44</v>
      </c>
      <c r="N33" s="56">
        <v>22</v>
      </c>
      <c r="O33" s="56">
        <v>20</v>
      </c>
      <c r="P33" s="56">
        <v>20</v>
      </c>
      <c r="Q33" s="56">
        <v>48</v>
      </c>
      <c r="R33" s="56">
        <v>23</v>
      </c>
      <c r="S33" s="56">
        <v>17</v>
      </c>
      <c r="T33" s="56">
        <v>20</v>
      </c>
      <c r="U33" s="56">
        <v>36</v>
      </c>
      <c r="V33" s="56">
        <v>26</v>
      </c>
      <c r="W33" s="56">
        <v>15</v>
      </c>
      <c r="X33" s="56">
        <v>17</v>
      </c>
      <c r="Y33" s="56">
        <v>548</v>
      </c>
      <c r="Z33" s="57">
        <v>73.069999999999993</v>
      </c>
      <c r="AA33" s="74" t="s">
        <v>179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 spans="1:37" ht="19.5" customHeight="1" x14ac:dyDescent="0.3">
      <c r="A34" s="53">
        <v>2298</v>
      </c>
      <c r="B34" s="53">
        <v>2200270246</v>
      </c>
      <c r="C34" s="54">
        <v>108960</v>
      </c>
      <c r="D34" s="46" t="s">
        <v>113</v>
      </c>
      <c r="E34" s="56">
        <v>47</v>
      </c>
      <c r="F34" s="56">
        <v>25</v>
      </c>
      <c r="G34" s="56">
        <v>21</v>
      </c>
      <c r="H34" s="56">
        <v>20</v>
      </c>
      <c r="I34" s="56">
        <v>32</v>
      </c>
      <c r="J34" s="56">
        <v>24</v>
      </c>
      <c r="K34" s="77">
        <v>18</v>
      </c>
      <c r="L34" s="56">
        <v>18</v>
      </c>
      <c r="M34" s="56">
        <v>31</v>
      </c>
      <c r="N34" s="56">
        <v>23</v>
      </c>
      <c r="O34" s="56">
        <v>21</v>
      </c>
      <c r="P34" s="56">
        <v>19</v>
      </c>
      <c r="Q34" s="56">
        <v>38</v>
      </c>
      <c r="R34" s="55">
        <v>20</v>
      </c>
      <c r="S34" s="56">
        <v>13</v>
      </c>
      <c r="T34" s="56">
        <v>18</v>
      </c>
      <c r="U34" s="56">
        <v>41</v>
      </c>
      <c r="V34" s="56">
        <v>23</v>
      </c>
      <c r="W34" s="56">
        <v>18</v>
      </c>
      <c r="X34" s="56">
        <v>17</v>
      </c>
      <c r="Y34" s="56">
        <v>487</v>
      </c>
      <c r="Z34" s="57">
        <v>64.930000000000007</v>
      </c>
      <c r="AA34" s="74" t="s">
        <v>166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 spans="1:37" ht="19.5" customHeight="1" x14ac:dyDescent="0.3">
      <c r="A35" s="53">
        <v>2299</v>
      </c>
      <c r="B35" s="53">
        <v>2200270224</v>
      </c>
      <c r="C35" s="54">
        <v>108941</v>
      </c>
      <c r="D35" s="46" t="s">
        <v>114</v>
      </c>
      <c r="E35" s="56">
        <v>42</v>
      </c>
      <c r="F35" s="56">
        <v>27</v>
      </c>
      <c r="G35" s="56">
        <v>21</v>
      </c>
      <c r="H35" s="56">
        <v>23</v>
      </c>
      <c r="I35" s="56">
        <v>59</v>
      </c>
      <c r="J35" s="56">
        <v>25</v>
      </c>
      <c r="K35" s="56">
        <v>19</v>
      </c>
      <c r="L35" s="56">
        <v>21</v>
      </c>
      <c r="M35" s="56">
        <v>50</v>
      </c>
      <c r="N35" s="56">
        <v>22</v>
      </c>
      <c r="O35" s="56">
        <v>21</v>
      </c>
      <c r="P35" s="56">
        <v>20</v>
      </c>
      <c r="Q35" s="56">
        <v>49</v>
      </c>
      <c r="R35" s="56">
        <v>23</v>
      </c>
      <c r="S35" s="56">
        <v>15</v>
      </c>
      <c r="T35" s="56">
        <v>22</v>
      </c>
      <c r="U35" s="56">
        <v>41</v>
      </c>
      <c r="V35" s="56">
        <v>24</v>
      </c>
      <c r="W35" s="56">
        <v>20</v>
      </c>
      <c r="X35" s="56">
        <v>21</v>
      </c>
      <c r="Y35" s="56">
        <v>565</v>
      </c>
      <c r="Z35" s="57">
        <v>75.33</v>
      </c>
      <c r="AA35" s="74" t="s">
        <v>85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 spans="1:37" ht="19.5" customHeight="1" x14ac:dyDescent="0.3">
      <c r="A36" s="53">
        <v>2300</v>
      </c>
      <c r="B36" s="53">
        <v>2200270155</v>
      </c>
      <c r="C36" s="54">
        <v>108878</v>
      </c>
      <c r="D36" s="46" t="s">
        <v>115</v>
      </c>
      <c r="E36" s="56">
        <v>39</v>
      </c>
      <c r="F36" s="56">
        <v>21</v>
      </c>
      <c r="G36" s="56">
        <v>21</v>
      </c>
      <c r="H36" s="56">
        <v>23</v>
      </c>
      <c r="I36" s="56">
        <v>52</v>
      </c>
      <c r="J36" s="56">
        <v>27</v>
      </c>
      <c r="K36" s="56">
        <v>20</v>
      </c>
      <c r="L36" s="56">
        <v>20</v>
      </c>
      <c r="M36" s="56">
        <v>45</v>
      </c>
      <c r="N36" s="56">
        <v>20</v>
      </c>
      <c r="O36" s="56">
        <v>18</v>
      </c>
      <c r="P36" s="56">
        <v>19</v>
      </c>
      <c r="Q36" s="56">
        <v>44</v>
      </c>
      <c r="R36" s="56">
        <v>19</v>
      </c>
      <c r="S36" s="56">
        <v>15</v>
      </c>
      <c r="T36" s="56">
        <v>19</v>
      </c>
      <c r="U36" s="56">
        <v>40</v>
      </c>
      <c r="V36" s="56">
        <v>23</v>
      </c>
      <c r="W36" s="56">
        <v>18</v>
      </c>
      <c r="X36" s="56">
        <v>20</v>
      </c>
      <c r="Y36" s="56">
        <v>523</v>
      </c>
      <c r="Z36" s="57">
        <v>69.73</v>
      </c>
      <c r="AA36" s="74" t="s">
        <v>166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 spans="1:37" ht="19.5" customHeight="1" x14ac:dyDescent="0.3">
      <c r="A37" s="53">
        <v>2301</v>
      </c>
      <c r="B37" s="53">
        <v>2200270203</v>
      </c>
      <c r="C37" s="54">
        <v>108922</v>
      </c>
      <c r="D37" s="46" t="s">
        <v>116</v>
      </c>
      <c r="E37" s="78" t="s">
        <v>177</v>
      </c>
      <c r="F37" s="56">
        <v>20</v>
      </c>
      <c r="G37" s="56">
        <v>21</v>
      </c>
      <c r="H37" s="56">
        <v>22</v>
      </c>
      <c r="I37" s="55">
        <v>49</v>
      </c>
      <c r="J37" s="56">
        <v>22</v>
      </c>
      <c r="K37" s="56">
        <v>18</v>
      </c>
      <c r="L37" s="56">
        <v>19</v>
      </c>
      <c r="M37" s="56">
        <v>31</v>
      </c>
      <c r="N37" s="56">
        <v>19</v>
      </c>
      <c r="O37" s="56">
        <v>18</v>
      </c>
      <c r="P37" s="56">
        <v>20</v>
      </c>
      <c r="Q37" s="56">
        <v>30</v>
      </c>
      <c r="R37" s="56">
        <v>19</v>
      </c>
      <c r="S37" s="56">
        <v>15</v>
      </c>
      <c r="T37" s="56">
        <v>20</v>
      </c>
      <c r="U37" s="56">
        <v>30</v>
      </c>
      <c r="V37" s="56">
        <v>25</v>
      </c>
      <c r="W37" s="56">
        <v>18</v>
      </c>
      <c r="X37" s="56">
        <v>18</v>
      </c>
      <c r="Y37" s="56">
        <v>444</v>
      </c>
      <c r="Z37" s="57"/>
      <c r="AA37" s="74" t="s">
        <v>168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 spans="1:37" ht="19.5" customHeight="1" x14ac:dyDescent="0.3">
      <c r="A38" s="53">
        <v>2302</v>
      </c>
      <c r="B38" s="53">
        <v>2200270174</v>
      </c>
      <c r="C38" s="54">
        <v>108894</v>
      </c>
      <c r="D38" s="46" t="s">
        <v>117</v>
      </c>
      <c r="E38" s="56">
        <v>61</v>
      </c>
      <c r="F38" s="56">
        <v>25</v>
      </c>
      <c r="G38" s="56">
        <v>21</v>
      </c>
      <c r="H38" s="56">
        <v>23</v>
      </c>
      <c r="I38" s="56">
        <v>62</v>
      </c>
      <c r="J38" s="56">
        <v>28</v>
      </c>
      <c r="K38" s="56">
        <v>22</v>
      </c>
      <c r="L38" s="56">
        <v>22</v>
      </c>
      <c r="M38" s="56">
        <v>55</v>
      </c>
      <c r="N38" s="56">
        <v>26</v>
      </c>
      <c r="O38" s="56">
        <v>23</v>
      </c>
      <c r="P38" s="56">
        <v>23</v>
      </c>
      <c r="Q38" s="56">
        <v>63</v>
      </c>
      <c r="R38" s="56">
        <v>28</v>
      </c>
      <c r="S38" s="56">
        <v>24</v>
      </c>
      <c r="T38" s="56">
        <v>24</v>
      </c>
      <c r="U38" s="56">
        <v>56</v>
      </c>
      <c r="V38" s="56">
        <v>27</v>
      </c>
      <c r="W38" s="56">
        <v>20</v>
      </c>
      <c r="X38" s="56">
        <v>22</v>
      </c>
      <c r="Y38" s="56">
        <v>655</v>
      </c>
      <c r="Z38" s="57">
        <v>87.33</v>
      </c>
      <c r="AA38" s="74" t="s">
        <v>85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 spans="1:37" ht="19.5" customHeight="1" x14ac:dyDescent="0.3">
      <c r="A39" s="53">
        <v>2303</v>
      </c>
      <c r="B39" s="53">
        <v>2200270169</v>
      </c>
      <c r="C39" s="54">
        <v>108889</v>
      </c>
      <c r="D39" s="46" t="s">
        <v>118</v>
      </c>
      <c r="E39" s="56">
        <v>40</v>
      </c>
      <c r="F39" s="56">
        <v>25</v>
      </c>
      <c r="G39" s="56">
        <v>20</v>
      </c>
      <c r="H39" s="56">
        <v>23</v>
      </c>
      <c r="I39" s="55">
        <v>61</v>
      </c>
      <c r="J39" s="56">
        <v>28</v>
      </c>
      <c r="K39" s="56">
        <v>21</v>
      </c>
      <c r="L39" s="56">
        <v>22</v>
      </c>
      <c r="M39" s="56">
        <v>49</v>
      </c>
      <c r="N39" s="56">
        <v>18</v>
      </c>
      <c r="O39" s="56">
        <v>17</v>
      </c>
      <c r="P39" s="56">
        <v>20</v>
      </c>
      <c r="Q39" s="56">
        <v>33</v>
      </c>
      <c r="R39" s="56">
        <v>21</v>
      </c>
      <c r="S39" s="56">
        <v>15</v>
      </c>
      <c r="T39" s="56">
        <v>19</v>
      </c>
      <c r="U39" s="56">
        <v>51</v>
      </c>
      <c r="V39" s="56">
        <v>28</v>
      </c>
      <c r="W39" s="56">
        <v>22</v>
      </c>
      <c r="X39" s="56">
        <v>23</v>
      </c>
      <c r="Y39" s="56">
        <v>556</v>
      </c>
      <c r="Z39" s="57">
        <v>74.13</v>
      </c>
      <c r="AA39" s="74" t="s">
        <v>166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 spans="1:37" ht="19.5" customHeight="1" x14ac:dyDescent="0.3">
      <c r="A40" s="53">
        <v>2304</v>
      </c>
      <c r="B40" s="53">
        <v>2200270101</v>
      </c>
      <c r="C40" s="54">
        <v>108826</v>
      </c>
      <c r="D40" s="46" t="s">
        <v>119</v>
      </c>
      <c r="E40" s="56">
        <v>60</v>
      </c>
      <c r="F40" s="56">
        <v>28</v>
      </c>
      <c r="G40" s="56">
        <v>20</v>
      </c>
      <c r="H40" s="56">
        <v>23</v>
      </c>
      <c r="I40" s="56">
        <v>67</v>
      </c>
      <c r="J40" s="56">
        <v>27</v>
      </c>
      <c r="K40" s="56">
        <v>20</v>
      </c>
      <c r="L40" s="56">
        <v>22</v>
      </c>
      <c r="M40" s="56">
        <v>53</v>
      </c>
      <c r="N40" s="56">
        <v>25</v>
      </c>
      <c r="O40" s="56">
        <v>18</v>
      </c>
      <c r="P40" s="56">
        <v>21</v>
      </c>
      <c r="Q40" s="56">
        <v>56</v>
      </c>
      <c r="R40" s="56">
        <v>24</v>
      </c>
      <c r="S40" s="56">
        <v>20</v>
      </c>
      <c r="T40" s="56">
        <v>20</v>
      </c>
      <c r="U40" s="56">
        <v>58</v>
      </c>
      <c r="V40" s="77">
        <v>28</v>
      </c>
      <c r="W40" s="56">
        <v>20</v>
      </c>
      <c r="X40" s="56">
        <v>23</v>
      </c>
      <c r="Y40" s="56">
        <v>633</v>
      </c>
      <c r="Z40" s="57">
        <v>84.4</v>
      </c>
      <c r="AA40" s="74" t="s">
        <v>85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 spans="1:37" ht="19.5" customHeight="1" x14ac:dyDescent="0.3">
      <c r="A41" s="53">
        <v>2305</v>
      </c>
      <c r="B41" s="53">
        <v>2200270233</v>
      </c>
      <c r="C41" s="54">
        <v>108948</v>
      </c>
      <c r="D41" s="46" t="s">
        <v>120</v>
      </c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7"/>
      <c r="AA41" s="58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 spans="1:37" ht="19.5" customHeight="1" x14ac:dyDescent="0.3">
      <c r="A42" s="53">
        <v>2306</v>
      </c>
      <c r="B42" s="53">
        <v>2200270228</v>
      </c>
      <c r="C42" s="54">
        <v>108944</v>
      </c>
      <c r="D42" s="46" t="s">
        <v>121</v>
      </c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7"/>
      <c r="AA42" s="58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 spans="1:37" ht="19.5" customHeight="1" x14ac:dyDescent="0.3">
      <c r="A43" s="53">
        <v>2307</v>
      </c>
      <c r="B43" s="53">
        <v>2200270158</v>
      </c>
      <c r="C43" s="54">
        <v>108881</v>
      </c>
      <c r="D43" s="46" t="s">
        <v>122</v>
      </c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7"/>
      <c r="AA43" s="58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 spans="1:37" ht="19.5" customHeight="1" x14ac:dyDescent="0.3">
      <c r="A44" s="53">
        <v>2308</v>
      </c>
      <c r="B44" s="53">
        <v>2200270237</v>
      </c>
      <c r="C44" s="54">
        <v>108952</v>
      </c>
      <c r="D44" s="46" t="s">
        <v>123</v>
      </c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7"/>
      <c r="AA44" s="58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 spans="1:37" ht="19.5" customHeight="1" x14ac:dyDescent="0.3">
      <c r="A45" s="53">
        <v>2309</v>
      </c>
      <c r="B45" s="53">
        <v>2200270190</v>
      </c>
      <c r="C45" s="54">
        <v>108910</v>
      </c>
      <c r="D45" s="46" t="s">
        <v>124</v>
      </c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7"/>
      <c r="AA45" s="5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 spans="1:37" ht="19.5" customHeight="1" x14ac:dyDescent="0.3">
      <c r="A46" s="53">
        <v>2310</v>
      </c>
      <c r="B46" s="53">
        <v>2200270226</v>
      </c>
      <c r="C46" s="54">
        <v>108943</v>
      </c>
      <c r="D46" s="46" t="s">
        <v>125</v>
      </c>
      <c r="E46" s="55"/>
      <c r="F46" s="56"/>
      <c r="G46" s="56"/>
      <c r="H46" s="56"/>
      <c r="I46" s="55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7"/>
      <c r="AA46" s="58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 spans="1:37" ht="19.5" customHeight="1" x14ac:dyDescent="0.3">
      <c r="A47" s="53">
        <v>2311</v>
      </c>
      <c r="B47" s="53">
        <v>2200270188</v>
      </c>
      <c r="C47" s="54">
        <v>108908</v>
      </c>
      <c r="D47" s="46" t="s">
        <v>126</v>
      </c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7"/>
      <c r="AA47" s="58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 spans="1:37" ht="19.5" customHeight="1" x14ac:dyDescent="0.3">
      <c r="A48" s="53">
        <v>2312</v>
      </c>
      <c r="B48" s="53">
        <v>2200270258</v>
      </c>
      <c r="C48" s="54">
        <v>108972</v>
      </c>
      <c r="D48" s="46" t="s">
        <v>127</v>
      </c>
      <c r="E48" s="56"/>
      <c r="F48" s="56"/>
      <c r="G48" s="56"/>
      <c r="H48" s="56"/>
      <c r="I48" s="55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7"/>
      <c r="AA48" s="58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 spans="1:37" ht="19.5" customHeight="1" x14ac:dyDescent="0.3">
      <c r="A49" s="53">
        <v>2313</v>
      </c>
      <c r="B49" s="53">
        <v>2200270248</v>
      </c>
      <c r="C49" s="54">
        <v>108962</v>
      </c>
      <c r="D49" s="46" t="s">
        <v>128</v>
      </c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7"/>
      <c r="AA49" s="58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 spans="1:37" ht="19.5" customHeight="1" x14ac:dyDescent="0.3">
      <c r="A50" s="53">
        <v>2314</v>
      </c>
      <c r="B50" s="53">
        <v>2200270243</v>
      </c>
      <c r="C50" s="54">
        <v>108957</v>
      </c>
      <c r="D50" s="46" t="s">
        <v>129</v>
      </c>
      <c r="E50" s="55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7"/>
      <c r="AA50" s="58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 spans="1:37" ht="19.5" customHeight="1" x14ac:dyDescent="0.3">
      <c r="A51" s="53">
        <v>2315</v>
      </c>
      <c r="B51" s="53">
        <v>2200270157</v>
      </c>
      <c r="C51" s="54">
        <v>108880</v>
      </c>
      <c r="D51" s="46" t="s">
        <v>130</v>
      </c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7"/>
      <c r="AA51" s="58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 spans="1:37" ht="19.5" customHeight="1" x14ac:dyDescent="0.3">
      <c r="A52" s="53">
        <v>2316</v>
      </c>
      <c r="B52" s="53">
        <v>2200270153</v>
      </c>
      <c r="C52" s="54">
        <v>108876</v>
      </c>
      <c r="D52" s="46" t="s">
        <v>131</v>
      </c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7"/>
      <c r="AA52" s="58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 spans="1:37" ht="19.5" customHeight="1" x14ac:dyDescent="0.3">
      <c r="A53" s="53">
        <v>2317</v>
      </c>
      <c r="B53" s="53">
        <v>2200270161</v>
      </c>
      <c r="C53" s="54">
        <v>108884</v>
      </c>
      <c r="D53" s="46" t="s">
        <v>132</v>
      </c>
      <c r="E53" s="56">
        <v>62</v>
      </c>
      <c r="F53" s="56">
        <v>28</v>
      </c>
      <c r="G53" s="56">
        <v>21</v>
      </c>
      <c r="H53" s="56">
        <v>23</v>
      </c>
      <c r="I53" s="56">
        <v>68</v>
      </c>
      <c r="J53" s="56">
        <v>28</v>
      </c>
      <c r="K53" s="56">
        <v>20</v>
      </c>
      <c r="L53" s="56">
        <v>22</v>
      </c>
      <c r="M53" s="56">
        <v>51</v>
      </c>
      <c r="N53" s="56">
        <v>28</v>
      </c>
      <c r="O53" s="56">
        <v>23</v>
      </c>
      <c r="P53" s="56">
        <v>23</v>
      </c>
      <c r="Q53" s="56">
        <v>62</v>
      </c>
      <c r="R53" s="56">
        <v>27</v>
      </c>
      <c r="S53" s="56">
        <v>23</v>
      </c>
      <c r="T53" s="56">
        <v>23</v>
      </c>
      <c r="U53" s="56">
        <v>52</v>
      </c>
      <c r="V53" s="56">
        <v>28</v>
      </c>
      <c r="W53" s="56">
        <v>19</v>
      </c>
      <c r="X53" s="56">
        <v>23</v>
      </c>
      <c r="Y53" s="56">
        <v>654</v>
      </c>
      <c r="Z53" s="57">
        <v>87.2</v>
      </c>
      <c r="AA53" s="74" t="s">
        <v>85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 spans="1:37" ht="19.5" customHeight="1" x14ac:dyDescent="0.3">
      <c r="A54" s="53">
        <v>2318</v>
      </c>
      <c r="B54" s="53">
        <v>2200270239</v>
      </c>
      <c r="C54" s="54">
        <v>108954</v>
      </c>
      <c r="D54" s="46" t="s">
        <v>133</v>
      </c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7"/>
      <c r="AA54" s="58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 spans="1:37" ht="19.5" customHeight="1" x14ac:dyDescent="0.3">
      <c r="A55" s="53">
        <v>2319</v>
      </c>
      <c r="B55" s="53">
        <v>2200270166</v>
      </c>
      <c r="C55" s="54">
        <v>108887</v>
      </c>
      <c r="D55" s="46" t="s">
        <v>134</v>
      </c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7"/>
      <c r="AA55" s="58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 spans="1:37" ht="19.5" customHeight="1" x14ac:dyDescent="0.3">
      <c r="A56" s="53">
        <v>2320</v>
      </c>
      <c r="B56" s="53">
        <v>2200270137</v>
      </c>
      <c r="C56" s="54">
        <v>108861</v>
      </c>
      <c r="D56" s="46" t="s">
        <v>135</v>
      </c>
      <c r="E56" s="56">
        <v>59</v>
      </c>
      <c r="F56" s="56">
        <v>28</v>
      </c>
      <c r="G56" s="56">
        <v>22</v>
      </c>
      <c r="H56" s="56">
        <v>23</v>
      </c>
      <c r="I56" s="56">
        <v>64</v>
      </c>
      <c r="J56" s="56">
        <v>28</v>
      </c>
      <c r="K56" s="56">
        <v>20</v>
      </c>
      <c r="L56" s="56">
        <v>22</v>
      </c>
      <c r="M56" s="56">
        <v>57</v>
      </c>
      <c r="N56" s="56">
        <v>28</v>
      </c>
      <c r="O56" s="56">
        <v>23</v>
      </c>
      <c r="P56" s="56">
        <v>23</v>
      </c>
      <c r="Q56" s="56">
        <v>63</v>
      </c>
      <c r="R56" s="56">
        <v>27</v>
      </c>
      <c r="S56" s="56">
        <v>23</v>
      </c>
      <c r="T56" s="56">
        <v>23</v>
      </c>
      <c r="U56" s="56">
        <v>60</v>
      </c>
      <c r="V56" s="56">
        <v>28</v>
      </c>
      <c r="W56" s="56">
        <v>22</v>
      </c>
      <c r="X56" s="56">
        <v>22</v>
      </c>
      <c r="Y56" s="56">
        <v>665</v>
      </c>
      <c r="Z56" s="57">
        <v>88.67</v>
      </c>
      <c r="AA56" s="74" t="s">
        <v>85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 spans="1:37" ht="19.5" customHeight="1" x14ac:dyDescent="0.3">
      <c r="A57" s="53">
        <v>2321</v>
      </c>
      <c r="B57" s="53" t="s">
        <v>136</v>
      </c>
      <c r="C57" s="43">
        <v>108966</v>
      </c>
      <c r="D57" s="46" t="s">
        <v>137</v>
      </c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7"/>
      <c r="AA57" s="58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 spans="1:37" ht="19.5" customHeight="1" x14ac:dyDescent="0.3">
      <c r="A58" s="53">
        <v>2322</v>
      </c>
      <c r="B58" s="53">
        <v>2200270140</v>
      </c>
      <c r="C58" s="54">
        <v>108864</v>
      </c>
      <c r="D58" s="46" t="s">
        <v>138</v>
      </c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7"/>
      <c r="AA58" s="58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 spans="1:37" ht="19.5" customHeight="1" x14ac:dyDescent="0.3">
      <c r="A59" s="53">
        <v>2323</v>
      </c>
      <c r="B59" s="53">
        <v>2200270142</v>
      </c>
      <c r="C59" s="54">
        <v>108866</v>
      </c>
      <c r="D59" s="46" t="s">
        <v>139</v>
      </c>
      <c r="E59" s="55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7"/>
      <c r="AA59" s="58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 spans="1:37" ht="19.5" customHeight="1" x14ac:dyDescent="0.3">
      <c r="A60" s="53">
        <v>2324</v>
      </c>
      <c r="B60" s="53">
        <v>2200270152</v>
      </c>
      <c r="C60" s="54">
        <v>108875</v>
      </c>
      <c r="D60" s="46" t="s">
        <v>140</v>
      </c>
      <c r="E60" s="60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7"/>
      <c r="AA60" s="58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 spans="1:37" ht="19.5" customHeight="1" x14ac:dyDescent="0.3">
      <c r="A61" s="53">
        <v>2325</v>
      </c>
      <c r="B61" s="53">
        <v>2200270284</v>
      </c>
      <c r="C61" s="54">
        <v>108996</v>
      </c>
      <c r="D61" s="46" t="s">
        <v>141</v>
      </c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7"/>
      <c r="AA61" s="58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 spans="1:37" ht="19.5" customHeight="1" x14ac:dyDescent="0.3">
      <c r="A62" s="53">
        <v>2326</v>
      </c>
      <c r="B62" s="53">
        <v>2200270189</v>
      </c>
      <c r="C62" s="43">
        <v>108909</v>
      </c>
      <c r="D62" s="61" t="s">
        <v>142</v>
      </c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7"/>
      <c r="AA62" s="58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 spans="1:37" ht="19.5" customHeight="1" x14ac:dyDescent="0.3">
      <c r="A63" s="53">
        <v>2327</v>
      </c>
      <c r="B63" s="53">
        <v>2200270154</v>
      </c>
      <c r="C63" s="43">
        <v>108877</v>
      </c>
      <c r="D63" s="46" t="s">
        <v>143</v>
      </c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7"/>
      <c r="AA63" s="58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 spans="1:37" ht="19.5" customHeight="1" x14ac:dyDescent="0.3">
      <c r="A64" s="53">
        <v>2328</v>
      </c>
      <c r="B64" s="53">
        <v>2200270191</v>
      </c>
      <c r="C64" s="54">
        <v>108911</v>
      </c>
      <c r="D64" s="46" t="s">
        <v>144</v>
      </c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7"/>
      <c r="AA64" s="58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 spans="1:27" ht="19.5" customHeight="1" x14ac:dyDescent="0.3">
      <c r="A65" s="53">
        <v>2329</v>
      </c>
      <c r="B65" s="53">
        <v>2200270175</v>
      </c>
      <c r="C65" s="54">
        <v>108895</v>
      </c>
      <c r="D65" s="46" t="s">
        <v>145</v>
      </c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7"/>
      <c r="AA65" s="58"/>
    </row>
    <row r="66" spans="1:27" ht="19.5" customHeight="1" x14ac:dyDescent="0.3">
      <c r="A66" s="53">
        <v>2330</v>
      </c>
      <c r="B66" s="53">
        <v>2200270127</v>
      </c>
      <c r="C66" s="54">
        <v>108851</v>
      </c>
      <c r="D66" s="46" t="s">
        <v>146</v>
      </c>
      <c r="E66" s="56">
        <v>67</v>
      </c>
      <c r="F66" s="56">
        <v>28</v>
      </c>
      <c r="G66" s="56">
        <v>24</v>
      </c>
      <c r="H66" s="56">
        <v>23</v>
      </c>
      <c r="I66" s="56">
        <v>65</v>
      </c>
      <c r="J66" s="56">
        <v>29</v>
      </c>
      <c r="K66" s="56">
        <v>23</v>
      </c>
      <c r="L66" s="56">
        <v>24</v>
      </c>
      <c r="M66" s="56">
        <v>58</v>
      </c>
      <c r="N66" s="56">
        <v>28</v>
      </c>
      <c r="O66" s="56">
        <v>24</v>
      </c>
      <c r="P66" s="56">
        <v>23</v>
      </c>
      <c r="Q66" s="56">
        <v>65</v>
      </c>
      <c r="R66" s="56">
        <v>29</v>
      </c>
      <c r="S66" s="56">
        <v>24</v>
      </c>
      <c r="T66" s="56">
        <v>24</v>
      </c>
      <c r="U66" s="56">
        <v>52</v>
      </c>
      <c r="V66" s="56">
        <v>28</v>
      </c>
      <c r="W66" s="56">
        <v>21</v>
      </c>
      <c r="X66" s="56">
        <v>23</v>
      </c>
      <c r="Y66" s="56">
        <v>682</v>
      </c>
      <c r="Z66" s="57">
        <v>90.93</v>
      </c>
      <c r="AA66" s="74" t="s">
        <v>85</v>
      </c>
    </row>
    <row r="67" spans="1:27" ht="19.5" customHeight="1" x14ac:dyDescent="0.3">
      <c r="A67" s="53">
        <v>2331</v>
      </c>
      <c r="B67" s="53">
        <v>2200270107</v>
      </c>
      <c r="C67" s="54">
        <v>108831</v>
      </c>
      <c r="D67" s="61" t="s">
        <v>147</v>
      </c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7"/>
      <c r="AA67" s="58"/>
    </row>
    <row r="68" spans="1:27" ht="19.5" customHeight="1" x14ac:dyDescent="0.3">
      <c r="A68" s="53">
        <v>2332</v>
      </c>
      <c r="B68" s="62">
        <v>23150940405</v>
      </c>
      <c r="C68" s="43">
        <v>109038</v>
      </c>
      <c r="D68" s="61" t="s">
        <v>148</v>
      </c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7"/>
      <c r="AA68" s="58"/>
    </row>
    <row r="69" spans="1:27" ht="19.5" customHeight="1" x14ac:dyDescent="0.3">
      <c r="A69" s="53">
        <v>2333</v>
      </c>
      <c r="B69" s="62">
        <v>23150940391</v>
      </c>
      <c r="C69" s="54">
        <v>109024</v>
      </c>
      <c r="D69" s="46" t="s">
        <v>149</v>
      </c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7"/>
      <c r="AA69" s="58"/>
    </row>
    <row r="70" spans="1:27" ht="19.5" customHeight="1" x14ac:dyDescent="0.3">
      <c r="A70" s="53">
        <v>2334</v>
      </c>
      <c r="B70" s="62">
        <v>23150940401</v>
      </c>
      <c r="C70" s="54">
        <v>109034</v>
      </c>
      <c r="D70" s="46" t="s">
        <v>150</v>
      </c>
      <c r="E70" s="56"/>
      <c r="F70" s="56"/>
      <c r="G70" s="56"/>
      <c r="H70" s="56"/>
      <c r="I70" s="55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7"/>
      <c r="AA70" s="58"/>
    </row>
    <row r="71" spans="1:27" ht="19.5" customHeight="1" x14ac:dyDescent="0.3">
      <c r="A71" s="53">
        <v>2335</v>
      </c>
      <c r="B71" s="62">
        <v>23150940408</v>
      </c>
      <c r="C71" s="54">
        <v>109041</v>
      </c>
      <c r="D71" s="46" t="s">
        <v>151</v>
      </c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7"/>
      <c r="AA71" s="58"/>
    </row>
    <row r="72" spans="1:27" ht="19.5" customHeight="1" x14ac:dyDescent="0.3">
      <c r="A72" s="53">
        <v>2336</v>
      </c>
      <c r="B72" s="62">
        <v>23150940402</v>
      </c>
      <c r="C72" s="54">
        <v>109035</v>
      </c>
      <c r="D72" s="46" t="s">
        <v>152</v>
      </c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7"/>
      <c r="AA72" s="58"/>
    </row>
    <row r="73" spans="1:27" ht="19.5" customHeight="1" x14ac:dyDescent="0.3">
      <c r="A73" s="53">
        <v>2337</v>
      </c>
      <c r="B73" s="62">
        <v>23150940403</v>
      </c>
      <c r="C73" s="54">
        <v>109036</v>
      </c>
      <c r="D73" s="46" t="s">
        <v>153</v>
      </c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7"/>
      <c r="AA73" s="58"/>
    </row>
    <row r="74" spans="1:27" ht="19.5" customHeight="1" x14ac:dyDescent="0.3">
      <c r="A74" s="53">
        <v>2338</v>
      </c>
      <c r="B74" s="62">
        <v>23150940399</v>
      </c>
      <c r="C74" s="43">
        <v>109032</v>
      </c>
      <c r="D74" s="46" t="s">
        <v>154</v>
      </c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7"/>
      <c r="AA74" s="58"/>
    </row>
    <row r="75" spans="1:27" ht="19.5" customHeight="1" x14ac:dyDescent="0.3">
      <c r="A75" s="53">
        <v>2414</v>
      </c>
      <c r="B75" s="62">
        <v>23150940412</v>
      </c>
      <c r="C75" s="54">
        <v>109045</v>
      </c>
      <c r="D75" s="46" t="s">
        <v>155</v>
      </c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7"/>
      <c r="AA75" s="58"/>
    </row>
    <row r="76" spans="1:27" ht="19.5" customHeight="1" x14ac:dyDescent="0.3">
      <c r="A76" s="53">
        <v>2415</v>
      </c>
      <c r="B76" s="63">
        <v>23150940397</v>
      </c>
      <c r="C76" s="64">
        <v>109030</v>
      </c>
      <c r="D76" s="61" t="s">
        <v>156</v>
      </c>
      <c r="E76" s="56">
        <v>46</v>
      </c>
      <c r="F76" s="56">
        <v>25</v>
      </c>
      <c r="G76" s="56">
        <v>23</v>
      </c>
      <c r="H76" s="56">
        <v>23</v>
      </c>
      <c r="I76" s="56">
        <v>62</v>
      </c>
      <c r="J76" s="56">
        <v>28</v>
      </c>
      <c r="K76" s="56">
        <v>22</v>
      </c>
      <c r="L76" s="56">
        <v>21</v>
      </c>
      <c r="M76" s="56">
        <v>55</v>
      </c>
      <c r="N76" s="56">
        <v>24</v>
      </c>
      <c r="O76" s="77">
        <v>22</v>
      </c>
      <c r="P76" s="56">
        <v>22</v>
      </c>
      <c r="Q76" s="56">
        <v>60</v>
      </c>
      <c r="R76" s="56">
        <v>29</v>
      </c>
      <c r="S76" s="56">
        <v>23</v>
      </c>
      <c r="T76" s="56">
        <v>24</v>
      </c>
      <c r="U76" s="56">
        <v>55</v>
      </c>
      <c r="V76" s="56">
        <v>28</v>
      </c>
      <c r="W76" s="56">
        <v>20</v>
      </c>
      <c r="X76" s="56">
        <v>22</v>
      </c>
      <c r="Y76" s="56">
        <v>634</v>
      </c>
      <c r="Z76" s="57">
        <v>84.53</v>
      </c>
      <c r="AA76" s="74" t="s">
        <v>85</v>
      </c>
    </row>
    <row r="77" spans="1:27" ht="19.5" customHeight="1" x14ac:dyDescent="0.3">
      <c r="A77" s="53">
        <v>2416</v>
      </c>
      <c r="B77" s="63">
        <v>23150940398</v>
      </c>
      <c r="C77" s="54">
        <v>109031</v>
      </c>
      <c r="D77" s="61" t="s">
        <v>157</v>
      </c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7"/>
      <c r="AA77" s="58"/>
    </row>
    <row r="78" spans="1:27" ht="19.5" customHeight="1" x14ac:dyDescent="0.3">
      <c r="A78" s="53">
        <v>2417</v>
      </c>
      <c r="B78" s="62">
        <v>23150940409</v>
      </c>
      <c r="C78" s="54">
        <v>109042</v>
      </c>
      <c r="D78" s="61" t="s">
        <v>158</v>
      </c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7"/>
      <c r="AA78" s="58"/>
    </row>
    <row r="79" spans="1:27" ht="19.5" customHeight="1" x14ac:dyDescent="0.3">
      <c r="A79" s="53">
        <v>2418</v>
      </c>
      <c r="B79" s="62">
        <v>23150940400</v>
      </c>
      <c r="C79" s="54">
        <v>109033</v>
      </c>
      <c r="D79" s="61" t="s">
        <v>159</v>
      </c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7"/>
      <c r="AA79" s="58"/>
    </row>
    <row r="80" spans="1:27" ht="19.5" customHeight="1" x14ac:dyDescent="0.3">
      <c r="A80" s="53">
        <v>2419</v>
      </c>
      <c r="B80" s="62">
        <v>23150940413</v>
      </c>
      <c r="C80" s="54">
        <v>109046</v>
      </c>
      <c r="D80" s="61" t="s">
        <v>160</v>
      </c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7"/>
      <c r="AA80" s="58"/>
    </row>
    <row r="81" spans="4:27" ht="19.5" customHeight="1" x14ac:dyDescent="0.3">
      <c r="D81" s="65"/>
      <c r="E81" s="66"/>
      <c r="F81" s="66"/>
      <c r="G81" s="66"/>
      <c r="H81" s="66"/>
      <c r="I81" s="67"/>
      <c r="J81" s="67"/>
      <c r="K81" s="67"/>
      <c r="L81" s="67"/>
      <c r="M81" s="68"/>
      <c r="N81" s="68"/>
      <c r="O81" s="68"/>
      <c r="P81" s="68"/>
      <c r="Q81" s="67"/>
      <c r="R81" s="67"/>
      <c r="S81" s="67"/>
      <c r="T81" s="67"/>
      <c r="U81" s="69"/>
      <c r="V81" s="69"/>
      <c r="W81" s="69"/>
      <c r="X81" s="69"/>
      <c r="Y81" s="66"/>
      <c r="Z81" s="66"/>
      <c r="AA81" s="66"/>
    </row>
    <row r="82" spans="4:27" ht="19.5" customHeight="1" x14ac:dyDescent="0.3">
      <c r="D82" s="70" t="s">
        <v>161</v>
      </c>
      <c r="E82" s="43">
        <f>COUNTIF(E6:E80,"&gt;=52.5")</f>
        <v>12</v>
      </c>
      <c r="F82" s="43"/>
      <c r="G82" s="43"/>
      <c r="H82" s="43"/>
      <c r="I82" s="43">
        <f>COUNTIF(I6:I80,"&gt;=52.5")</f>
        <v>29</v>
      </c>
      <c r="J82" s="43"/>
      <c r="K82" s="43"/>
      <c r="L82" s="43"/>
      <c r="M82" s="43">
        <f>COUNTIF(M6:M80,"&gt;=52.5")</f>
        <v>10</v>
      </c>
      <c r="N82" s="43"/>
      <c r="O82" s="43"/>
      <c r="P82" s="43"/>
      <c r="Q82" s="43">
        <f>COUNTIF(Q6:Q80,"&gt;=52.5")</f>
        <v>13</v>
      </c>
      <c r="R82" s="66"/>
      <c r="S82" s="66"/>
      <c r="T82" s="66"/>
      <c r="U82" s="66"/>
      <c r="V82" s="66"/>
      <c r="W82" s="66"/>
      <c r="X82" s="66"/>
      <c r="Y82" s="66"/>
      <c r="Z82" s="66"/>
      <c r="AA82" s="66"/>
    </row>
    <row r="83" spans="4:27" ht="19.5" customHeight="1" x14ac:dyDescent="0.3">
      <c r="D83" s="70" t="s">
        <v>162</v>
      </c>
      <c r="E83" s="43">
        <f>COUNTIFS(E6:E80,"&gt;=42 ",E6:E80,"&lt; 52.5" )</f>
        <v>10</v>
      </c>
      <c r="F83" s="43"/>
      <c r="G83" s="43"/>
      <c r="H83" s="43"/>
      <c r="I83" s="43">
        <f>COUNTIFS(I6:I80,"&gt;=42 ",I6:I80,"&lt; 52.5" )</f>
        <v>7</v>
      </c>
      <c r="J83" s="43"/>
      <c r="K83" s="43"/>
      <c r="L83" s="43"/>
      <c r="M83" s="43">
        <f>COUNTIFS(M6:M80,"&gt;=42 ",M6:M80,"&lt; 52.5" )</f>
        <v>17</v>
      </c>
      <c r="N83" s="43"/>
      <c r="O83" s="43"/>
      <c r="P83" s="43"/>
      <c r="Q83" s="43">
        <f>COUNTIFS(Q6:Q80,"&gt;=42 ",Q6:Q80,"&lt; 52.5" )</f>
        <v>11</v>
      </c>
      <c r="R83" s="67"/>
      <c r="S83" s="67"/>
      <c r="T83" s="67"/>
      <c r="U83" s="69"/>
      <c r="V83" s="69"/>
      <c r="W83" s="69"/>
      <c r="X83" s="69"/>
      <c r="Y83" s="66"/>
      <c r="Z83" s="66"/>
      <c r="AA83" s="66"/>
    </row>
    <row r="84" spans="4:27" ht="19.5" customHeight="1" x14ac:dyDescent="0.3">
      <c r="D84" s="70" t="s">
        <v>163</v>
      </c>
      <c r="E84" s="43">
        <f>COUNTIFS(E6:E80,"&gt;=35 ",E6:E80,"&lt; 42" )</f>
        <v>5</v>
      </c>
      <c r="F84" s="43"/>
      <c r="G84" s="43"/>
      <c r="H84" s="43"/>
      <c r="I84" s="43">
        <f>COUNTIFS(I6:I80,"&gt;=35 ",I6:I80,"&lt; 42" )</f>
        <v>2</v>
      </c>
      <c r="J84" s="43"/>
      <c r="K84" s="43"/>
      <c r="L84" s="43"/>
      <c r="M84" s="43">
        <f>COUNTIFS(M6:M80,"&gt;=35 ",M6:M80,"&lt; 42" )</f>
        <v>6</v>
      </c>
      <c r="N84" s="43"/>
      <c r="O84" s="43"/>
      <c r="P84" s="43"/>
      <c r="Q84" s="43">
        <f>COUNTIFS(Q6:Q80,"&gt;=35 ",Q6:Q80,"&lt; 42" )</f>
        <v>4</v>
      </c>
      <c r="R84" s="67"/>
      <c r="S84" s="67"/>
      <c r="T84" s="67"/>
      <c r="U84" s="69"/>
      <c r="V84" s="69"/>
      <c r="W84" s="69"/>
      <c r="X84" s="69"/>
      <c r="Y84" s="66"/>
      <c r="Z84" s="66"/>
      <c r="AA84" s="66"/>
    </row>
    <row r="85" spans="4:27" ht="19.5" customHeight="1" x14ac:dyDescent="0.3">
      <c r="D85" s="70" t="s">
        <v>164</v>
      </c>
      <c r="E85" s="43">
        <f>COUNTIFS(E6:E80,"&gt;=28 ",E6:E80,"&lt; 35" )</f>
        <v>5</v>
      </c>
      <c r="F85" s="43"/>
      <c r="G85" s="43"/>
      <c r="H85" s="43"/>
      <c r="I85" s="43">
        <f>COUNTIFS(I6:I80,"&gt;=28 ",I6:I80,"&lt; 35" )</f>
        <v>1</v>
      </c>
      <c r="J85" s="43"/>
      <c r="K85" s="43"/>
      <c r="L85" s="43"/>
      <c r="M85" s="43">
        <f>COUNTIFS(M6:M80,"&gt;=28 ",M6:M80,"&lt; 35" )</f>
        <v>6</v>
      </c>
      <c r="N85" s="43"/>
      <c r="O85" s="43"/>
      <c r="P85" s="43"/>
      <c r="Q85" s="43">
        <f>COUNTIFS(Q6:Q80,"&gt;=28 ",Q6:Q80,"&lt; 35" )</f>
        <v>9</v>
      </c>
      <c r="R85" s="67"/>
      <c r="S85" s="67"/>
      <c r="T85" s="67"/>
      <c r="U85" s="69"/>
      <c r="V85" s="69"/>
      <c r="W85" s="69"/>
      <c r="X85" s="69"/>
      <c r="Y85" s="66"/>
      <c r="Z85" s="66"/>
      <c r="AA85" s="66"/>
    </row>
    <row r="86" spans="4:27" ht="19.5" customHeight="1" x14ac:dyDescent="0.3">
      <c r="D86" s="70"/>
      <c r="E86" s="43"/>
      <c r="F86" s="43"/>
      <c r="G86" s="43"/>
      <c r="H86" s="43"/>
      <c r="I86" s="71"/>
      <c r="J86" s="71"/>
      <c r="K86" s="71"/>
      <c r="L86" s="71"/>
      <c r="M86" s="72"/>
      <c r="N86" s="72"/>
      <c r="O86" s="72"/>
      <c r="P86" s="72"/>
      <c r="Q86" s="71"/>
      <c r="R86" s="67"/>
      <c r="S86" s="67"/>
      <c r="T86" s="67"/>
      <c r="U86" s="69"/>
      <c r="V86" s="69"/>
      <c r="W86" s="69"/>
      <c r="X86" s="69"/>
      <c r="Y86" s="66"/>
      <c r="Z86" s="66"/>
      <c r="AA86" s="66"/>
    </row>
    <row r="87" spans="4:27" ht="19.5" customHeight="1" x14ac:dyDescent="0.3">
      <c r="D87" s="70" t="s">
        <v>165</v>
      </c>
      <c r="E87" s="43">
        <f>COUNTIF(E6:E80,"=70")</f>
        <v>0</v>
      </c>
      <c r="F87" s="43"/>
      <c r="G87" s="43"/>
      <c r="H87" s="43"/>
      <c r="I87" s="43">
        <f>COUNTIF(I6:I80,"=70")</f>
        <v>0</v>
      </c>
      <c r="J87" s="43"/>
      <c r="K87" s="43"/>
      <c r="L87" s="43"/>
      <c r="M87" s="43">
        <f>COUNTIF(M6:M80,"=70")</f>
        <v>0</v>
      </c>
      <c r="N87" s="43"/>
      <c r="O87" s="43"/>
      <c r="P87" s="43"/>
      <c r="Q87" s="43">
        <f>COUNTIF(Q6:Q80,"=70")</f>
        <v>0</v>
      </c>
      <c r="R87" s="67"/>
      <c r="S87" s="67"/>
      <c r="T87" s="67"/>
      <c r="U87" s="69"/>
      <c r="V87" s="69"/>
      <c r="W87" s="69"/>
      <c r="X87" s="69"/>
      <c r="Y87" s="66"/>
      <c r="Z87" s="66"/>
      <c r="AA87" s="66"/>
    </row>
    <row r="88" spans="4:27" ht="19.5" customHeight="1" x14ac:dyDescent="0.3">
      <c r="D88" s="65"/>
      <c r="E88" s="66"/>
      <c r="F88" s="66"/>
      <c r="G88" s="66"/>
      <c r="H88" s="66"/>
      <c r="I88" s="67"/>
      <c r="J88" s="67"/>
      <c r="K88" s="67"/>
      <c r="L88" s="67"/>
      <c r="M88" s="68"/>
      <c r="N88" s="68"/>
      <c r="O88" s="68"/>
      <c r="P88" s="68"/>
      <c r="Q88" s="67"/>
      <c r="R88" s="67"/>
      <c r="S88" s="67"/>
      <c r="T88" s="67"/>
      <c r="U88" s="69"/>
      <c r="V88" s="69"/>
      <c r="W88" s="69"/>
      <c r="X88" s="69"/>
      <c r="Y88" s="66"/>
      <c r="Z88" s="66"/>
      <c r="AA88" s="66"/>
    </row>
    <row r="89" spans="4:27" ht="19.5" customHeight="1" x14ac:dyDescent="0.3">
      <c r="D89" s="65"/>
      <c r="E89" s="66"/>
      <c r="F89" s="66"/>
      <c r="G89" s="66"/>
      <c r="H89" s="66"/>
      <c r="I89" s="67"/>
      <c r="J89" s="67"/>
      <c r="K89" s="67"/>
      <c r="L89" s="67"/>
      <c r="M89" s="68"/>
      <c r="N89" s="68"/>
      <c r="O89" s="68"/>
      <c r="P89" s="68"/>
      <c r="Q89" s="67"/>
      <c r="R89" s="67"/>
      <c r="S89" s="67"/>
      <c r="T89" s="67"/>
      <c r="U89" s="69"/>
      <c r="V89" s="69"/>
      <c r="W89" s="69"/>
      <c r="X89" s="69"/>
      <c r="Y89" s="66"/>
      <c r="Z89" s="66"/>
      <c r="AA89" s="66"/>
    </row>
    <row r="90" spans="4:27" ht="19.5" customHeight="1" x14ac:dyDescent="0.3">
      <c r="D90" s="65"/>
      <c r="E90" s="66"/>
      <c r="F90" s="66"/>
      <c r="G90" s="66"/>
      <c r="H90" s="66"/>
      <c r="I90" s="67"/>
      <c r="J90" s="67"/>
      <c r="K90" s="67"/>
      <c r="L90" s="67"/>
      <c r="M90" s="68"/>
      <c r="N90" s="68"/>
      <c r="O90" s="68"/>
      <c r="P90" s="68"/>
      <c r="Q90" s="67"/>
      <c r="R90" s="67"/>
      <c r="S90" s="67"/>
      <c r="T90" s="67"/>
      <c r="U90" s="69"/>
      <c r="V90" s="69"/>
      <c r="W90" s="69"/>
      <c r="X90" s="69"/>
      <c r="Y90" s="66"/>
      <c r="Z90" s="66"/>
      <c r="AA90" s="66"/>
    </row>
    <row r="91" spans="4:27" ht="19.5" customHeight="1" x14ac:dyDescent="0.3">
      <c r="D91" s="65"/>
      <c r="E91" s="66"/>
      <c r="F91" s="66"/>
      <c r="G91" s="66"/>
      <c r="H91" s="66"/>
      <c r="I91" s="67"/>
      <c r="J91" s="67"/>
      <c r="K91" s="67"/>
      <c r="L91" s="67"/>
      <c r="M91" s="68"/>
      <c r="N91" s="68"/>
      <c r="O91" s="68"/>
      <c r="P91" s="68"/>
      <c r="Q91" s="67"/>
      <c r="R91" s="67"/>
      <c r="S91" s="67"/>
      <c r="T91" s="67"/>
      <c r="U91" s="69"/>
      <c r="V91" s="69"/>
      <c r="W91" s="69"/>
      <c r="X91" s="69"/>
      <c r="Y91" s="66"/>
      <c r="Z91" s="66"/>
      <c r="AA91" s="66"/>
    </row>
    <row r="92" spans="4:27" ht="12.75" customHeight="1" x14ac:dyDescent="0.3">
      <c r="D92" s="65"/>
      <c r="E92" s="66"/>
      <c r="F92" s="66"/>
      <c r="G92" s="66"/>
      <c r="H92" s="66"/>
      <c r="I92" s="67"/>
      <c r="J92" s="67"/>
      <c r="K92" s="67"/>
      <c r="L92" s="67"/>
      <c r="M92" s="68"/>
      <c r="N92" s="68"/>
      <c r="O92" s="68"/>
      <c r="P92" s="68"/>
      <c r="Q92" s="67"/>
      <c r="R92" s="67"/>
      <c r="S92" s="67"/>
      <c r="T92" s="67"/>
      <c r="U92" s="69"/>
      <c r="V92" s="69"/>
      <c r="W92" s="69"/>
      <c r="X92" s="69"/>
      <c r="Y92" s="66"/>
      <c r="Z92" s="66"/>
      <c r="AA92" s="66"/>
    </row>
    <row r="93" spans="4:27" ht="12.75" customHeight="1" x14ac:dyDescent="0.3">
      <c r="D93" s="65"/>
      <c r="E93" s="66"/>
      <c r="F93" s="66"/>
      <c r="G93" s="66"/>
      <c r="H93" s="66"/>
      <c r="I93" s="67"/>
      <c r="J93" s="67"/>
      <c r="K93" s="67"/>
      <c r="L93" s="67"/>
      <c r="M93" s="68"/>
      <c r="N93" s="68"/>
      <c r="O93" s="68"/>
      <c r="P93" s="68"/>
      <c r="Q93" s="67"/>
      <c r="R93" s="67"/>
      <c r="S93" s="67"/>
      <c r="T93" s="67"/>
      <c r="U93" s="69"/>
      <c r="V93" s="69"/>
      <c r="W93" s="69"/>
      <c r="X93" s="69"/>
      <c r="Y93" s="66"/>
      <c r="Z93" s="66"/>
      <c r="AA93" s="66"/>
    </row>
    <row r="94" spans="4:27" ht="12.75" customHeight="1" x14ac:dyDescent="0.3">
      <c r="D94" s="65"/>
      <c r="E94" s="66"/>
      <c r="F94" s="66"/>
      <c r="G94" s="66"/>
      <c r="H94" s="66"/>
      <c r="I94" s="67"/>
      <c r="J94" s="67"/>
      <c r="K94" s="67"/>
      <c r="L94" s="67"/>
      <c r="M94" s="68"/>
      <c r="N94" s="68"/>
      <c r="O94" s="68"/>
      <c r="P94" s="68"/>
      <c r="Q94" s="67"/>
      <c r="R94" s="67"/>
      <c r="S94" s="67"/>
      <c r="T94" s="67"/>
      <c r="U94" s="69"/>
      <c r="V94" s="69"/>
      <c r="W94" s="69"/>
      <c r="X94" s="69"/>
      <c r="Y94" s="66"/>
      <c r="Z94" s="66"/>
      <c r="AA94" s="66"/>
    </row>
    <row r="95" spans="4:27" ht="12.75" customHeight="1" x14ac:dyDescent="0.3">
      <c r="D95" s="65"/>
      <c r="E95" s="66"/>
      <c r="F95" s="66"/>
      <c r="G95" s="66"/>
      <c r="H95" s="66"/>
      <c r="I95" s="67"/>
      <c r="J95" s="67"/>
      <c r="K95" s="67"/>
      <c r="L95" s="67"/>
      <c r="M95" s="68"/>
      <c r="N95" s="68"/>
      <c r="O95" s="68"/>
      <c r="P95" s="68"/>
      <c r="Q95" s="67"/>
      <c r="R95" s="67"/>
      <c r="S95" s="67"/>
      <c r="T95" s="67"/>
      <c r="U95" s="69"/>
      <c r="V95" s="69"/>
      <c r="W95" s="69"/>
      <c r="X95" s="69"/>
      <c r="Y95" s="66"/>
      <c r="Z95" s="66"/>
      <c r="AA95" s="66"/>
    </row>
    <row r="96" spans="4:27" ht="12.75" customHeight="1" x14ac:dyDescent="0.3">
      <c r="D96" s="65"/>
      <c r="E96" s="66"/>
      <c r="F96" s="66"/>
      <c r="G96" s="66"/>
      <c r="H96" s="66"/>
      <c r="I96" s="67"/>
      <c r="J96" s="67"/>
      <c r="K96" s="67"/>
      <c r="L96" s="67"/>
      <c r="M96" s="68"/>
      <c r="N96" s="68"/>
      <c r="O96" s="68"/>
      <c r="P96" s="68"/>
      <c r="Q96" s="67"/>
      <c r="R96" s="67"/>
      <c r="S96" s="67"/>
      <c r="T96" s="67"/>
      <c r="U96" s="69"/>
      <c r="V96" s="69"/>
      <c r="W96" s="69"/>
      <c r="X96" s="69"/>
      <c r="Y96" s="66"/>
      <c r="Z96" s="66"/>
      <c r="AA96" s="66"/>
    </row>
    <row r="97" spans="4:27" ht="12.75" customHeight="1" x14ac:dyDescent="0.3">
      <c r="D97" s="65"/>
      <c r="E97" s="66"/>
      <c r="F97" s="66"/>
      <c r="G97" s="66"/>
      <c r="H97" s="66"/>
      <c r="I97" s="67"/>
      <c r="J97" s="67"/>
      <c r="K97" s="67"/>
      <c r="L97" s="67"/>
      <c r="M97" s="68"/>
      <c r="N97" s="68"/>
      <c r="O97" s="68"/>
      <c r="P97" s="68"/>
      <c r="Q97" s="67"/>
      <c r="R97" s="67"/>
      <c r="S97" s="67"/>
      <c r="T97" s="67"/>
      <c r="U97" s="69"/>
      <c r="V97" s="69"/>
      <c r="W97" s="69"/>
      <c r="X97" s="69"/>
      <c r="Y97" s="66"/>
      <c r="Z97" s="66"/>
      <c r="AA97" s="66"/>
    </row>
    <row r="98" spans="4:27" ht="12.75" customHeight="1" x14ac:dyDescent="0.3">
      <c r="D98" s="65"/>
      <c r="E98" s="66"/>
      <c r="F98" s="66"/>
      <c r="G98" s="66"/>
      <c r="H98" s="66"/>
      <c r="I98" s="67"/>
      <c r="J98" s="67"/>
      <c r="K98" s="67"/>
      <c r="L98" s="67"/>
      <c r="M98" s="68"/>
      <c r="N98" s="68"/>
      <c r="O98" s="68"/>
      <c r="P98" s="68"/>
      <c r="Q98" s="67"/>
      <c r="R98" s="67"/>
      <c r="S98" s="67"/>
      <c r="T98" s="67"/>
      <c r="U98" s="69"/>
      <c r="V98" s="69"/>
      <c r="W98" s="69"/>
      <c r="X98" s="69"/>
      <c r="Y98" s="66"/>
      <c r="Z98" s="66"/>
      <c r="AA98" s="66"/>
    </row>
    <row r="99" spans="4:27" ht="12.75" customHeight="1" x14ac:dyDescent="0.3">
      <c r="D99" s="65"/>
      <c r="E99" s="66"/>
      <c r="F99" s="66"/>
      <c r="G99" s="66"/>
      <c r="H99" s="66"/>
      <c r="I99" s="67"/>
      <c r="J99" s="67"/>
      <c r="K99" s="67"/>
      <c r="L99" s="67"/>
      <c r="M99" s="68"/>
      <c r="N99" s="68"/>
      <c r="O99" s="68"/>
      <c r="P99" s="68"/>
      <c r="Q99" s="67"/>
      <c r="R99" s="67"/>
      <c r="S99" s="67"/>
      <c r="T99" s="67"/>
      <c r="U99" s="69"/>
      <c r="V99" s="69"/>
      <c r="W99" s="69"/>
      <c r="X99" s="69"/>
      <c r="Y99" s="66"/>
      <c r="Z99" s="66"/>
      <c r="AA99" s="66"/>
    </row>
    <row r="100" spans="4:27" ht="12.75" customHeight="1" x14ac:dyDescent="0.3">
      <c r="D100" s="65"/>
      <c r="E100" s="66"/>
      <c r="F100" s="66"/>
      <c r="G100" s="66"/>
      <c r="H100" s="66"/>
      <c r="I100" s="67"/>
      <c r="J100" s="67"/>
      <c r="K100" s="67"/>
      <c r="L100" s="67"/>
      <c r="M100" s="68"/>
      <c r="N100" s="68"/>
      <c r="O100" s="68"/>
      <c r="P100" s="68"/>
      <c r="Q100" s="67"/>
      <c r="R100" s="67"/>
      <c r="S100" s="67"/>
      <c r="T100" s="67"/>
      <c r="U100" s="69"/>
      <c r="V100" s="69"/>
      <c r="W100" s="69"/>
      <c r="X100" s="69"/>
      <c r="Y100" s="66"/>
      <c r="Z100" s="66"/>
      <c r="AA100" s="66"/>
    </row>
  </sheetData>
  <mergeCells count="24">
    <mergeCell ref="U3:X3"/>
    <mergeCell ref="Q3:T3"/>
    <mergeCell ref="E3:H3"/>
    <mergeCell ref="K4:L4"/>
    <mergeCell ref="Q4:R4"/>
    <mergeCell ref="M4:N4"/>
    <mergeCell ref="O4:P4"/>
    <mergeCell ref="M3:P3"/>
    <mergeCell ref="Z2:Z4"/>
    <mergeCell ref="AA2:AA4"/>
    <mergeCell ref="E2:X2"/>
    <mergeCell ref="I4:J4"/>
    <mergeCell ref="A1:AA1"/>
    <mergeCell ref="I3:L3"/>
    <mergeCell ref="S4:T4"/>
    <mergeCell ref="Y2:Y4"/>
    <mergeCell ref="U4:V4"/>
    <mergeCell ref="W4:X4"/>
    <mergeCell ref="E4:F4"/>
    <mergeCell ref="D2:D5"/>
    <mergeCell ref="A2:A5"/>
    <mergeCell ref="B2:B5"/>
    <mergeCell ref="C2:C5"/>
    <mergeCell ref="G4:H4"/>
  </mergeCells>
  <hyperlinks>
    <hyperlink ref="E31" r:id="rId1" xr:uid="{DACDAC88-CF0E-478D-BCA0-03AE7CFC4662}"/>
  </hyperlinks>
  <pageMargins left="0.7" right="0.7" top="0.75" bottom="0.75" header="0" footer="0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3"/>
  <sheetViews>
    <sheetView topLeftCell="A3" workbookViewId="0">
      <selection activeCell="H11" sqref="H11"/>
    </sheetView>
  </sheetViews>
  <sheetFormatPr defaultColWidth="14.44140625" defaultRowHeight="15" customHeight="1" x14ac:dyDescent="0.3"/>
  <cols>
    <col min="1" max="1" width="12.33203125" customWidth="1"/>
    <col min="2" max="2" width="12.88671875" customWidth="1"/>
    <col min="3" max="3" width="12.44140625" customWidth="1"/>
    <col min="4" max="4" width="11.88671875" customWidth="1"/>
    <col min="5" max="5" width="6.88671875" customWidth="1"/>
    <col min="6" max="6" width="6.6640625" customWidth="1"/>
    <col min="7" max="7" width="6.5546875" customWidth="1"/>
    <col min="8" max="8" width="11.88671875" customWidth="1"/>
    <col min="9" max="9" width="9" customWidth="1"/>
    <col min="10" max="10" width="13.109375" customWidth="1"/>
    <col min="11" max="11" width="8.6640625" customWidth="1"/>
    <col min="12" max="12" width="13.44140625" customWidth="1"/>
    <col min="13" max="13" width="13.33203125" customWidth="1"/>
    <col min="14" max="25" width="8.6640625" customWidth="1"/>
  </cols>
  <sheetData>
    <row r="1" spans="1:25" ht="21.75" customHeight="1" x14ac:dyDescent="0.3">
      <c r="B1" s="1"/>
      <c r="C1" s="1"/>
      <c r="D1" s="1"/>
      <c r="E1" s="1"/>
      <c r="F1" s="1"/>
      <c r="G1" s="1"/>
      <c r="H1" s="1"/>
      <c r="I1" s="1"/>
      <c r="J1" s="1"/>
      <c r="L1" s="1" t="s">
        <v>0</v>
      </c>
    </row>
    <row r="2" spans="1:25" ht="21.75" customHeight="1" x14ac:dyDescent="0.4">
      <c r="A2" s="99" t="s">
        <v>1</v>
      </c>
      <c r="B2" s="100"/>
      <c r="C2" s="100"/>
      <c r="D2" s="100"/>
      <c r="E2" s="100"/>
      <c r="F2" s="100"/>
      <c r="G2" s="100"/>
      <c r="H2" s="100"/>
      <c r="I2" s="100"/>
      <c r="J2" s="100"/>
    </row>
    <row r="3" spans="1:25" ht="21.75" customHeight="1" x14ac:dyDescent="0.3">
      <c r="A3" s="2" t="s">
        <v>2</v>
      </c>
      <c r="B3" s="2"/>
      <c r="C3" s="2"/>
      <c r="D3" s="2"/>
      <c r="E3" s="2"/>
      <c r="F3" s="2"/>
      <c r="G3" s="2"/>
      <c r="H3" s="3"/>
      <c r="I3" s="1"/>
      <c r="J3" s="2"/>
    </row>
    <row r="4" spans="1:25" ht="21.75" customHeight="1" x14ac:dyDescent="0.3">
      <c r="A4" s="2" t="s">
        <v>3</v>
      </c>
      <c r="B4" s="2"/>
      <c r="C4" s="2"/>
      <c r="D4" s="2"/>
      <c r="E4" s="2"/>
      <c r="F4" s="2"/>
      <c r="G4" s="2"/>
      <c r="H4" s="4"/>
      <c r="I4" s="1"/>
      <c r="J4" s="2"/>
      <c r="M4" s="5"/>
      <c r="O4" s="6"/>
    </row>
    <row r="5" spans="1:25" ht="21.75" customHeight="1" x14ac:dyDescent="0.3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O5" s="6"/>
    </row>
    <row r="6" spans="1:25" ht="21.75" customHeight="1" x14ac:dyDescent="0.3">
      <c r="A6" s="2" t="s">
        <v>5</v>
      </c>
      <c r="B6" s="2"/>
      <c r="C6" s="2"/>
      <c r="D6" s="7"/>
      <c r="E6" s="2"/>
      <c r="F6" s="2"/>
      <c r="G6" s="2"/>
      <c r="H6" s="2"/>
      <c r="I6" s="2"/>
      <c r="J6" s="2"/>
      <c r="O6" s="6"/>
    </row>
    <row r="7" spans="1:25" ht="21.75" customHeight="1" x14ac:dyDescent="0.3">
      <c r="A7" s="102" t="s">
        <v>6</v>
      </c>
      <c r="B7" s="105" t="s">
        <v>7</v>
      </c>
      <c r="C7" s="116" t="s">
        <v>8</v>
      </c>
      <c r="D7" s="106" t="s">
        <v>9</v>
      </c>
      <c r="E7" s="107"/>
      <c r="F7" s="107"/>
      <c r="G7" s="108"/>
      <c r="H7" s="102" t="s">
        <v>10</v>
      </c>
      <c r="I7" s="113" t="s">
        <v>11</v>
      </c>
      <c r="J7" s="102" t="s">
        <v>12</v>
      </c>
      <c r="K7" s="105" t="s">
        <v>13</v>
      </c>
      <c r="L7" s="105" t="s">
        <v>14</v>
      </c>
      <c r="M7" s="113" t="s">
        <v>15</v>
      </c>
      <c r="R7" s="6"/>
    </row>
    <row r="8" spans="1:25" ht="21.75" customHeight="1" x14ac:dyDescent="0.3">
      <c r="A8" s="103"/>
      <c r="B8" s="91"/>
      <c r="C8" s="117"/>
      <c r="D8" s="119" t="s">
        <v>16</v>
      </c>
      <c r="E8" s="121" t="s">
        <v>17</v>
      </c>
      <c r="F8" s="121" t="s">
        <v>18</v>
      </c>
      <c r="G8" s="110" t="s">
        <v>19</v>
      </c>
      <c r="H8" s="103"/>
      <c r="I8" s="111"/>
      <c r="J8" s="103"/>
      <c r="K8" s="91"/>
      <c r="L8" s="91"/>
      <c r="M8" s="111"/>
      <c r="R8" s="6"/>
    </row>
    <row r="9" spans="1:25" ht="21.75" customHeight="1" x14ac:dyDescent="0.3">
      <c r="A9" s="103"/>
      <c r="B9" s="91"/>
      <c r="C9" s="117"/>
      <c r="D9" s="103"/>
      <c r="E9" s="91"/>
      <c r="F9" s="91"/>
      <c r="G9" s="111"/>
      <c r="H9" s="103"/>
      <c r="I9" s="111"/>
      <c r="J9" s="103"/>
      <c r="K9" s="91"/>
      <c r="L9" s="91"/>
      <c r="M9" s="111"/>
      <c r="N9" s="6"/>
      <c r="R9" s="6"/>
    </row>
    <row r="10" spans="1:25" ht="21.75" customHeight="1" x14ac:dyDescent="0.3">
      <c r="A10" s="104"/>
      <c r="B10" s="92"/>
      <c r="C10" s="118"/>
      <c r="D10" s="120"/>
      <c r="E10" s="122"/>
      <c r="F10" s="122"/>
      <c r="G10" s="112"/>
      <c r="H10" s="120"/>
      <c r="I10" s="112"/>
      <c r="J10" s="104"/>
      <c r="K10" s="92"/>
      <c r="L10" s="92"/>
      <c r="M10" s="114"/>
      <c r="N10" s="8"/>
      <c r="R10" s="6"/>
    </row>
    <row r="11" spans="1:25" ht="21.75" customHeight="1" x14ac:dyDescent="0.3">
      <c r="A11" s="9" t="s">
        <v>20</v>
      </c>
      <c r="B11" s="10">
        <v>75</v>
      </c>
      <c r="C11" s="11">
        <v>74</v>
      </c>
      <c r="D11" s="9">
        <v>12</v>
      </c>
      <c r="E11" s="10">
        <v>40</v>
      </c>
      <c r="F11" s="10">
        <v>11</v>
      </c>
      <c r="G11" s="12">
        <v>5</v>
      </c>
      <c r="H11" s="9">
        <f>SUM(D11:G11)</f>
        <v>68</v>
      </c>
      <c r="I11" s="13">
        <v>5</v>
      </c>
      <c r="J11" s="9">
        <f>H11+I11</f>
        <v>73</v>
      </c>
      <c r="K11" s="10">
        <f>C11-J11</f>
        <v>1</v>
      </c>
      <c r="L11" s="14">
        <f>H11/C11</f>
        <v>0.91891891891891897</v>
      </c>
      <c r="M11" s="14">
        <f>J11/C11</f>
        <v>0.98648648648648651</v>
      </c>
    </row>
    <row r="12" spans="1:25" ht="21.75" customHeight="1" x14ac:dyDescent="0.3">
      <c r="C12" s="15"/>
      <c r="D12" s="15"/>
      <c r="E12" s="115"/>
      <c r="F12" s="100"/>
      <c r="G12" s="100"/>
      <c r="H12" s="109"/>
      <c r="I12" s="100"/>
      <c r="J12" s="1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21.75" customHeight="1" x14ac:dyDescent="0.3">
      <c r="A13" s="17" t="s">
        <v>21</v>
      </c>
      <c r="B13" s="6"/>
      <c r="C13" s="15">
        <f>C11</f>
        <v>74</v>
      </c>
      <c r="D13" s="15"/>
      <c r="E13" s="115"/>
      <c r="F13" s="100"/>
      <c r="G13" s="100"/>
      <c r="H13" s="109"/>
      <c r="I13" s="100"/>
      <c r="J13" s="1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21.75" customHeight="1" x14ac:dyDescent="0.35">
      <c r="A14" s="17" t="s">
        <v>22</v>
      </c>
      <c r="B14" s="6"/>
      <c r="C14" s="15">
        <f>J11</f>
        <v>73</v>
      </c>
      <c r="D14" s="18"/>
      <c r="E14" s="18"/>
      <c r="F14" s="18"/>
      <c r="G14" s="101"/>
      <c r="H14" s="100"/>
      <c r="I14" s="100"/>
      <c r="J14" s="20"/>
    </row>
    <row r="15" spans="1:25" ht="21.75" customHeight="1" x14ac:dyDescent="0.35">
      <c r="A15" s="17" t="s">
        <v>23</v>
      </c>
      <c r="B15" s="18"/>
      <c r="C15" s="21">
        <f>M11</f>
        <v>0.98648648648648651</v>
      </c>
      <c r="D15" s="18"/>
      <c r="E15" s="18"/>
      <c r="F15" s="18"/>
      <c r="G15" s="18"/>
      <c r="H15" s="19"/>
      <c r="I15" s="19"/>
      <c r="J15" s="20"/>
    </row>
    <row r="16" spans="1:25" ht="12.75" customHeight="1" x14ac:dyDescent="0.3"/>
    <row r="17" spans="1:9" ht="12.75" customHeight="1" x14ac:dyDescent="0.3"/>
    <row r="18" spans="1:9" ht="21.75" customHeight="1" x14ac:dyDescent="0.3"/>
    <row r="19" spans="1:9" ht="12.75" customHeight="1" x14ac:dyDescent="0.3">
      <c r="A19" s="22" t="s">
        <v>24</v>
      </c>
      <c r="I19" s="22" t="s">
        <v>25</v>
      </c>
    </row>
    <row r="20" spans="1:9" ht="21.75" customHeight="1" x14ac:dyDescent="0.3"/>
    <row r="21" spans="1:9" ht="21.75" customHeight="1" x14ac:dyDescent="0.3"/>
    <row r="22" spans="1:9" ht="21.75" customHeight="1" x14ac:dyDescent="0.3"/>
    <row r="23" spans="1:9" ht="21.75" customHeight="1" x14ac:dyDescent="0.3"/>
    <row r="24" spans="1:9" ht="21.75" customHeight="1" x14ac:dyDescent="0.3"/>
    <row r="25" spans="1:9" ht="21.75" customHeight="1" x14ac:dyDescent="0.3"/>
    <row r="26" spans="1:9" ht="21.75" customHeight="1" x14ac:dyDescent="0.3"/>
    <row r="27" spans="1:9" ht="21.75" customHeight="1" x14ac:dyDescent="0.3"/>
    <row r="28" spans="1:9" ht="21.75" customHeight="1" x14ac:dyDescent="0.3"/>
    <row r="29" spans="1:9" ht="21.75" customHeight="1" x14ac:dyDescent="0.3"/>
    <row r="30" spans="1:9" ht="21.75" customHeight="1" x14ac:dyDescent="0.3"/>
    <row r="31" spans="1:9" ht="21.75" customHeight="1" x14ac:dyDescent="0.3"/>
    <row r="32" spans="1:9" ht="21.75" customHeight="1" x14ac:dyDescent="0.3"/>
    <row r="33" ht="21.75" customHeight="1" x14ac:dyDescent="0.3"/>
    <row r="34" ht="21.75" customHeight="1" x14ac:dyDescent="0.3"/>
    <row r="35" ht="21.75" customHeight="1" x14ac:dyDescent="0.3"/>
    <row r="36" ht="21.75" customHeight="1" x14ac:dyDescent="0.3"/>
    <row r="37" ht="21.75" customHeight="1" x14ac:dyDescent="0.3"/>
    <row r="38" ht="21.75" customHeight="1" x14ac:dyDescent="0.3"/>
    <row r="39" ht="21.75" customHeight="1" x14ac:dyDescent="0.3"/>
    <row r="40" ht="21.75" customHeight="1" x14ac:dyDescent="0.3"/>
    <row r="41" ht="21.75" customHeight="1" x14ac:dyDescent="0.3"/>
    <row r="42" ht="21.75" customHeight="1" x14ac:dyDescent="0.3"/>
    <row r="43" ht="21.75" customHeight="1" x14ac:dyDescent="0.3"/>
    <row r="44" ht="21.75" customHeight="1" x14ac:dyDescent="0.3"/>
    <row r="45" ht="21.75" customHeight="1" x14ac:dyDescent="0.3"/>
    <row r="46" ht="21.75" customHeight="1" x14ac:dyDescent="0.3"/>
    <row r="47" ht="21.75" customHeight="1" x14ac:dyDescent="0.3"/>
    <row r="48" ht="21.75" customHeight="1" x14ac:dyDescent="0.3"/>
    <row r="49" ht="21.75" customHeight="1" x14ac:dyDescent="0.3"/>
    <row r="50" ht="21.75" customHeight="1" x14ac:dyDescent="0.3"/>
    <row r="51" ht="21.75" customHeight="1" x14ac:dyDescent="0.3"/>
    <row r="52" ht="21.75" customHeight="1" x14ac:dyDescent="0.3"/>
    <row r="53" ht="21.75" customHeight="1" x14ac:dyDescent="0.3"/>
    <row r="54" ht="21.75" customHeight="1" x14ac:dyDescent="0.3"/>
    <row r="55" ht="21.75" customHeight="1" x14ac:dyDescent="0.3"/>
    <row r="56" ht="21.75" customHeight="1" x14ac:dyDescent="0.3"/>
    <row r="57" ht="21.75" customHeight="1" x14ac:dyDescent="0.3"/>
    <row r="58" ht="21.75" customHeight="1" x14ac:dyDescent="0.3"/>
    <row r="59" ht="21.75" customHeight="1" x14ac:dyDescent="0.3"/>
    <row r="60" ht="21.75" customHeight="1" x14ac:dyDescent="0.3"/>
    <row r="61" ht="21.75" customHeight="1" x14ac:dyDescent="0.3"/>
    <row r="62" ht="21.75" customHeight="1" x14ac:dyDescent="0.3"/>
    <row r="63" ht="21.75" customHeight="1" x14ac:dyDescent="0.3"/>
    <row r="64" ht="21.75" customHeight="1" x14ac:dyDescent="0.3"/>
    <row r="65" ht="21.75" customHeight="1" x14ac:dyDescent="0.3"/>
    <row r="66" ht="21.75" customHeight="1" x14ac:dyDescent="0.3"/>
    <row r="67" ht="21.75" customHeight="1" x14ac:dyDescent="0.3"/>
    <row r="68" ht="21.75" customHeight="1" x14ac:dyDescent="0.3"/>
    <row r="69" ht="21.75" customHeight="1" x14ac:dyDescent="0.3"/>
    <row r="70" ht="21.75" customHeight="1" x14ac:dyDescent="0.3"/>
    <row r="71" ht="21.75" customHeight="1" x14ac:dyDescent="0.3"/>
    <row r="72" ht="21.75" customHeight="1" x14ac:dyDescent="0.3"/>
    <row r="73" ht="21.75" customHeight="1" x14ac:dyDescent="0.3"/>
    <row r="74" ht="21.75" customHeight="1" x14ac:dyDescent="0.3"/>
    <row r="75" ht="21.75" customHeight="1" x14ac:dyDescent="0.3"/>
    <row r="76" ht="21.75" customHeight="1" x14ac:dyDescent="0.3"/>
    <row r="77" ht="21.75" customHeight="1" x14ac:dyDescent="0.3"/>
    <row r="78" ht="21.75" customHeight="1" x14ac:dyDescent="0.3"/>
    <row r="79" ht="21.75" customHeight="1" x14ac:dyDescent="0.3"/>
    <row r="80" ht="21.75" customHeight="1" x14ac:dyDescent="0.3"/>
    <row r="81" ht="21.75" customHeight="1" x14ac:dyDescent="0.3"/>
    <row r="82" ht="21.75" customHeight="1" x14ac:dyDescent="0.3"/>
    <row r="83" ht="21.75" customHeight="1" x14ac:dyDescent="0.3"/>
    <row r="84" ht="21.75" customHeight="1" x14ac:dyDescent="0.3"/>
    <row r="85" ht="21.75" customHeight="1" x14ac:dyDescent="0.3"/>
    <row r="86" ht="21.75" customHeight="1" x14ac:dyDescent="0.3"/>
    <row r="87" ht="21.75" customHeight="1" x14ac:dyDescent="0.3"/>
    <row r="88" ht="21.75" customHeight="1" x14ac:dyDescent="0.3"/>
    <row r="89" ht="21.75" customHeight="1" x14ac:dyDescent="0.3"/>
    <row r="90" ht="21.75" customHeight="1" x14ac:dyDescent="0.3"/>
    <row r="91" ht="21.75" customHeight="1" x14ac:dyDescent="0.3"/>
    <row r="92" ht="21.75" customHeight="1" x14ac:dyDescent="0.3"/>
    <row r="93" ht="21.75" customHeight="1" x14ac:dyDescent="0.3"/>
    <row r="94" ht="21.75" customHeight="1" x14ac:dyDescent="0.3"/>
    <row r="95" ht="21.75" customHeight="1" x14ac:dyDescent="0.3"/>
    <row r="96" ht="21.75" customHeight="1" x14ac:dyDescent="0.3"/>
    <row r="97" ht="21.75" customHeight="1" x14ac:dyDescent="0.3"/>
    <row r="98" ht="21.75" customHeight="1" x14ac:dyDescent="0.3"/>
    <row r="99" ht="21.75" customHeight="1" x14ac:dyDescent="0.3"/>
    <row r="100" ht="21.75" customHeight="1" x14ac:dyDescent="0.3"/>
    <row r="101" ht="21.75" customHeight="1" x14ac:dyDescent="0.3"/>
    <row r="102" ht="21.75" customHeight="1" x14ac:dyDescent="0.3"/>
    <row r="103" ht="21.75" customHeight="1" x14ac:dyDescent="0.3"/>
    <row r="104" ht="21.75" customHeight="1" x14ac:dyDescent="0.3"/>
    <row r="105" ht="21.75" customHeight="1" x14ac:dyDescent="0.3"/>
    <row r="106" ht="21.75" customHeight="1" x14ac:dyDescent="0.3"/>
    <row r="107" ht="21.75" customHeight="1" x14ac:dyDescent="0.3"/>
    <row r="108" ht="21.75" customHeight="1" x14ac:dyDescent="0.3"/>
    <row r="109" ht="21.75" customHeight="1" x14ac:dyDescent="0.3"/>
    <row r="110" ht="21.75" customHeight="1" x14ac:dyDescent="0.3"/>
    <row r="111" ht="21.75" customHeight="1" x14ac:dyDescent="0.3"/>
    <row r="112" ht="21.75" customHeight="1" x14ac:dyDescent="0.3"/>
    <row r="113" ht="21.75" customHeight="1" x14ac:dyDescent="0.3"/>
    <row r="114" ht="21.75" customHeight="1" x14ac:dyDescent="0.3"/>
    <row r="115" ht="21.75" customHeight="1" x14ac:dyDescent="0.3"/>
    <row r="116" ht="21.75" customHeight="1" x14ac:dyDescent="0.3"/>
    <row r="117" ht="21.75" customHeight="1" x14ac:dyDescent="0.3"/>
    <row r="118" ht="21.75" customHeight="1" x14ac:dyDescent="0.3"/>
    <row r="119" ht="21.75" customHeight="1" x14ac:dyDescent="0.3"/>
    <row r="120" ht="21.75" customHeight="1" x14ac:dyDescent="0.3"/>
    <row r="121" ht="21.75" customHeight="1" x14ac:dyDescent="0.3"/>
    <row r="122" ht="21.75" customHeight="1" x14ac:dyDescent="0.3"/>
    <row r="123" ht="21.75" customHeight="1" x14ac:dyDescent="0.3"/>
    <row r="124" ht="21.75" customHeight="1" x14ac:dyDescent="0.3"/>
    <row r="125" ht="21.75" customHeight="1" x14ac:dyDescent="0.3"/>
    <row r="126" ht="21.75" customHeight="1" x14ac:dyDescent="0.3"/>
    <row r="127" ht="21.75" customHeight="1" x14ac:dyDescent="0.3"/>
    <row r="128" ht="21.75" customHeight="1" x14ac:dyDescent="0.3"/>
    <row r="129" ht="21.75" customHeight="1" x14ac:dyDescent="0.3"/>
    <row r="130" ht="21.75" customHeight="1" x14ac:dyDescent="0.3"/>
    <row r="131" ht="21.75" customHeight="1" x14ac:dyDescent="0.3"/>
    <row r="132" ht="21.75" customHeight="1" x14ac:dyDescent="0.3"/>
    <row r="133" ht="21.75" customHeight="1" x14ac:dyDescent="0.3"/>
    <row r="134" ht="21.75" customHeight="1" x14ac:dyDescent="0.3"/>
    <row r="135" ht="21.75" customHeight="1" x14ac:dyDescent="0.3"/>
    <row r="136" ht="21.75" customHeight="1" x14ac:dyDescent="0.3"/>
    <row r="137" ht="21.75" customHeight="1" x14ac:dyDescent="0.3"/>
    <row r="138" ht="21.75" customHeight="1" x14ac:dyDescent="0.3"/>
    <row r="139" ht="21.75" customHeight="1" x14ac:dyDescent="0.3"/>
    <row r="140" ht="21.75" customHeight="1" x14ac:dyDescent="0.3"/>
    <row r="141" ht="21.75" customHeight="1" x14ac:dyDescent="0.3"/>
    <row r="142" ht="21.75" customHeight="1" x14ac:dyDescent="0.3"/>
    <row r="143" ht="21.75" customHeight="1" x14ac:dyDescent="0.3"/>
    <row r="144" ht="21.75" customHeight="1" x14ac:dyDescent="0.3"/>
    <row r="145" ht="21.75" customHeight="1" x14ac:dyDescent="0.3"/>
    <row r="146" ht="21.75" customHeight="1" x14ac:dyDescent="0.3"/>
    <row r="147" ht="21.75" customHeight="1" x14ac:dyDescent="0.3"/>
    <row r="148" ht="21.75" customHeight="1" x14ac:dyDescent="0.3"/>
    <row r="149" ht="21.75" customHeight="1" x14ac:dyDescent="0.3"/>
    <row r="150" ht="21.75" customHeight="1" x14ac:dyDescent="0.3"/>
    <row r="151" ht="21.75" customHeight="1" x14ac:dyDescent="0.3"/>
    <row r="152" ht="21.75" customHeight="1" x14ac:dyDescent="0.3"/>
    <row r="153" ht="21.75" customHeight="1" x14ac:dyDescent="0.3"/>
    <row r="154" ht="21.75" customHeight="1" x14ac:dyDescent="0.3"/>
    <row r="155" ht="21.75" customHeight="1" x14ac:dyDescent="0.3"/>
    <row r="156" ht="21.75" customHeight="1" x14ac:dyDescent="0.3"/>
    <row r="157" ht="21.75" customHeight="1" x14ac:dyDescent="0.3"/>
    <row r="158" ht="21.75" customHeight="1" x14ac:dyDescent="0.3"/>
    <row r="159" ht="21.75" customHeight="1" x14ac:dyDescent="0.3"/>
    <row r="160" ht="21.75" customHeight="1" x14ac:dyDescent="0.3"/>
    <row r="161" ht="21.75" customHeight="1" x14ac:dyDescent="0.3"/>
    <row r="162" ht="21.75" customHeight="1" x14ac:dyDescent="0.3"/>
    <row r="163" ht="21.75" customHeight="1" x14ac:dyDescent="0.3"/>
    <row r="164" ht="21.75" customHeight="1" x14ac:dyDescent="0.3"/>
    <row r="165" ht="21.75" customHeight="1" x14ac:dyDescent="0.3"/>
    <row r="166" ht="21.75" customHeight="1" x14ac:dyDescent="0.3"/>
    <row r="167" ht="21.75" customHeight="1" x14ac:dyDescent="0.3"/>
    <row r="168" ht="21.75" customHeight="1" x14ac:dyDescent="0.3"/>
    <row r="169" ht="21.75" customHeight="1" x14ac:dyDescent="0.3"/>
    <row r="170" ht="21.75" customHeight="1" x14ac:dyDescent="0.3"/>
    <row r="171" ht="21.75" customHeight="1" x14ac:dyDescent="0.3"/>
    <row r="172" ht="21.75" customHeight="1" x14ac:dyDescent="0.3"/>
    <row r="173" ht="21.75" customHeight="1" x14ac:dyDescent="0.3"/>
    <row r="174" ht="21.75" customHeight="1" x14ac:dyDescent="0.3"/>
    <row r="175" ht="21.75" customHeight="1" x14ac:dyDescent="0.3"/>
    <row r="176" ht="21.75" customHeight="1" x14ac:dyDescent="0.3"/>
    <row r="177" ht="21.75" customHeight="1" x14ac:dyDescent="0.3"/>
    <row r="178" ht="21.75" customHeight="1" x14ac:dyDescent="0.3"/>
    <row r="179" ht="21.75" customHeight="1" x14ac:dyDescent="0.3"/>
    <row r="180" ht="21.75" customHeight="1" x14ac:dyDescent="0.3"/>
    <row r="181" ht="21.75" customHeight="1" x14ac:dyDescent="0.3"/>
    <row r="182" ht="21.75" customHeight="1" x14ac:dyDescent="0.3"/>
    <row r="183" ht="21.75" customHeight="1" x14ac:dyDescent="0.3"/>
    <row r="184" ht="21.75" customHeight="1" x14ac:dyDescent="0.3"/>
    <row r="185" ht="21.75" customHeight="1" x14ac:dyDescent="0.3"/>
    <row r="186" ht="21.75" customHeight="1" x14ac:dyDescent="0.3"/>
    <row r="187" ht="21.75" customHeight="1" x14ac:dyDescent="0.3"/>
    <row r="188" ht="21.75" customHeight="1" x14ac:dyDescent="0.3"/>
    <row r="189" ht="21.75" customHeight="1" x14ac:dyDescent="0.3"/>
    <row r="190" ht="21.75" customHeight="1" x14ac:dyDescent="0.3"/>
    <row r="191" ht="21.75" customHeight="1" x14ac:dyDescent="0.3"/>
    <row r="192" ht="21.75" customHeight="1" x14ac:dyDescent="0.3"/>
    <row r="193" ht="21.75" customHeight="1" x14ac:dyDescent="0.3"/>
  </sheetData>
  <mergeCells count="20">
    <mergeCell ref="M7:M10"/>
    <mergeCell ref="E12:G12"/>
    <mergeCell ref="E13:G13"/>
    <mergeCell ref="C7:C10"/>
    <mergeCell ref="D8:D10"/>
    <mergeCell ref="E8:E10"/>
    <mergeCell ref="F8:F10"/>
    <mergeCell ref="H12:I12"/>
    <mergeCell ref="H7:H10"/>
    <mergeCell ref="I7:I10"/>
    <mergeCell ref="K7:K10"/>
    <mergeCell ref="L7:L10"/>
    <mergeCell ref="A2:J2"/>
    <mergeCell ref="G14:I14"/>
    <mergeCell ref="A7:A10"/>
    <mergeCell ref="B7:B10"/>
    <mergeCell ref="D7:G7"/>
    <mergeCell ref="J7:J10"/>
    <mergeCell ref="H13:I13"/>
    <mergeCell ref="G8:G10"/>
  </mergeCells>
  <pageMargins left="0.75" right="0.75" top="0.62" bottom="0.55000000000000004" header="0" footer="0"/>
  <pageSetup scale="84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"/>
  <sheetViews>
    <sheetView zoomScale="72" workbookViewId="0">
      <selection activeCell="J16" sqref="J16"/>
    </sheetView>
  </sheetViews>
  <sheetFormatPr defaultColWidth="14.44140625" defaultRowHeight="15" customHeight="1" x14ac:dyDescent="0.3"/>
  <cols>
    <col min="1" max="2" width="12.88671875" customWidth="1"/>
    <col min="3" max="3" width="14.33203125" customWidth="1"/>
    <col min="4" max="7" width="12.88671875" customWidth="1"/>
    <col min="8" max="8" width="12.6640625" customWidth="1"/>
    <col min="9" max="9" width="12.88671875" customWidth="1"/>
    <col min="10" max="10" width="29.88671875" customWidth="1"/>
    <col min="11" max="20" width="12.88671875" customWidth="1"/>
  </cols>
  <sheetData>
    <row r="1" spans="1:20" ht="21.75" customHeight="1" x14ac:dyDescent="0.4">
      <c r="A1" s="123" t="s">
        <v>26</v>
      </c>
      <c r="B1" s="100"/>
      <c r="C1" s="100"/>
      <c r="D1" s="100"/>
      <c r="E1" s="100"/>
      <c r="F1" s="100"/>
      <c r="G1" s="100"/>
      <c r="H1" s="100"/>
      <c r="I1" s="100"/>
      <c r="J1" s="100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21.75" customHeight="1" x14ac:dyDescent="0.3">
      <c r="A2" s="2"/>
      <c r="B2" s="2"/>
      <c r="C2" s="2"/>
      <c r="D2" s="2"/>
      <c r="E2" s="2"/>
      <c r="F2" s="2"/>
      <c r="G2" s="2"/>
      <c r="H2" s="2"/>
      <c r="I2" s="2"/>
      <c r="J2" s="4" t="s">
        <v>27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21.75" customHeight="1" x14ac:dyDescent="0.35">
      <c r="A3" s="124" t="s">
        <v>28</v>
      </c>
      <c r="B3" s="100"/>
      <c r="C3" s="100"/>
      <c r="D3" s="100"/>
      <c r="E3" s="100"/>
      <c r="F3" s="100"/>
      <c r="G3" s="100"/>
      <c r="H3" s="100"/>
      <c r="I3" s="100"/>
      <c r="J3" s="100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21.75" customHeight="1" x14ac:dyDescent="0.3">
      <c r="A4" s="23"/>
      <c r="B4" s="23"/>
      <c r="C4" s="23"/>
      <c r="D4" s="23"/>
      <c r="E4" s="23"/>
      <c r="F4" s="23"/>
      <c r="G4" s="23"/>
      <c r="H4" s="23"/>
      <c r="I4" s="23"/>
      <c r="J4" s="24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21.75" customHeight="1" x14ac:dyDescent="0.3">
      <c r="A5" s="2" t="s">
        <v>29</v>
      </c>
      <c r="B5" s="2"/>
      <c r="C5" s="2"/>
      <c r="D5" s="2"/>
      <c r="E5" s="2"/>
      <c r="F5" s="2"/>
      <c r="G5" s="2"/>
      <c r="H5" s="2" t="s">
        <v>30</v>
      </c>
      <c r="I5" s="25" t="s">
        <v>31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21.75" customHeight="1" x14ac:dyDescent="0.3">
      <c r="A6" s="2" t="s">
        <v>32</v>
      </c>
      <c r="B6" s="2"/>
      <c r="C6" s="1" t="s">
        <v>20</v>
      </c>
      <c r="D6" s="2"/>
      <c r="E6" s="2" t="s">
        <v>33</v>
      </c>
      <c r="F6" s="1" t="s">
        <v>34</v>
      </c>
      <c r="G6" s="2"/>
      <c r="H6" s="3"/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21.75" customHeight="1" x14ac:dyDescent="0.3">
      <c r="A7" s="2" t="s">
        <v>35</v>
      </c>
      <c r="B7" s="2"/>
      <c r="C7" s="1" t="s">
        <v>36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21.75" customHeight="1" x14ac:dyDescent="0.3">
      <c r="A8" s="2" t="s">
        <v>37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21.75" customHeight="1" x14ac:dyDescent="0.3">
      <c r="A9" s="2" t="s">
        <v>38</v>
      </c>
      <c r="B9" s="2"/>
      <c r="C9" s="1" t="s">
        <v>39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21.7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69.75" customHeight="1" x14ac:dyDescent="0.3">
      <c r="A11" s="26" t="s">
        <v>40</v>
      </c>
      <c r="B11" s="26" t="s">
        <v>41</v>
      </c>
      <c r="C11" s="26" t="s">
        <v>42</v>
      </c>
      <c r="D11" s="26" t="s">
        <v>43</v>
      </c>
      <c r="E11" s="26" t="s">
        <v>44</v>
      </c>
      <c r="F11" s="26" t="s">
        <v>45</v>
      </c>
      <c r="G11" s="26" t="s">
        <v>46</v>
      </c>
      <c r="H11" s="26" t="s">
        <v>47</v>
      </c>
      <c r="I11" s="26" t="s">
        <v>48</v>
      </c>
      <c r="J11" s="26" t="s">
        <v>49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21.75" customHeight="1" x14ac:dyDescent="0.3">
      <c r="A12" s="26">
        <v>1</v>
      </c>
      <c r="B12" s="26" t="s">
        <v>50</v>
      </c>
      <c r="C12" s="26">
        <v>74</v>
      </c>
      <c r="D12" s="26"/>
      <c r="E12" s="26"/>
      <c r="F12" s="26"/>
      <c r="G12" s="26"/>
      <c r="H12" s="26"/>
      <c r="I12" s="27"/>
      <c r="J12" s="28" t="s">
        <v>51</v>
      </c>
      <c r="K12" s="2"/>
      <c r="L12" s="2"/>
      <c r="M12" s="29"/>
      <c r="N12" s="30"/>
      <c r="O12" s="29"/>
      <c r="P12" s="29"/>
      <c r="Q12" s="29"/>
      <c r="R12" s="29"/>
      <c r="S12" s="31"/>
      <c r="T12" s="32"/>
    </row>
    <row r="13" spans="1:20" ht="21.75" customHeight="1" x14ac:dyDescent="0.3">
      <c r="A13" s="26">
        <v>2</v>
      </c>
      <c r="B13" s="26" t="s">
        <v>52</v>
      </c>
      <c r="C13" s="26">
        <v>74</v>
      </c>
      <c r="D13" s="26"/>
      <c r="E13" s="26"/>
      <c r="F13" s="26"/>
      <c r="G13" s="26"/>
      <c r="H13" s="26"/>
      <c r="I13" s="27"/>
      <c r="J13" s="28" t="s">
        <v>53</v>
      </c>
      <c r="K13" s="2"/>
      <c r="L13" s="2"/>
      <c r="M13" s="29"/>
      <c r="N13" s="30"/>
      <c r="O13" s="29"/>
      <c r="P13" s="29"/>
      <c r="Q13" s="29"/>
      <c r="R13" s="29"/>
      <c r="S13" s="31"/>
      <c r="T13" s="33"/>
    </row>
    <row r="14" spans="1:20" ht="21.75" customHeight="1" x14ac:dyDescent="0.3">
      <c r="A14" s="26">
        <v>3</v>
      </c>
      <c r="B14" s="26" t="s">
        <v>54</v>
      </c>
      <c r="C14" s="26">
        <v>74</v>
      </c>
      <c r="D14" s="26"/>
      <c r="E14" s="26"/>
      <c r="F14" s="26"/>
      <c r="G14" s="26"/>
      <c r="H14" s="26"/>
      <c r="I14" s="27"/>
      <c r="J14" s="28" t="s">
        <v>55</v>
      </c>
      <c r="K14" s="2"/>
      <c r="L14" s="2"/>
      <c r="M14" s="29"/>
      <c r="N14" s="30"/>
      <c r="O14" s="29"/>
      <c r="P14" s="29"/>
      <c r="Q14" s="29"/>
      <c r="R14" s="29"/>
      <c r="S14" s="31"/>
      <c r="T14" s="33"/>
    </row>
    <row r="15" spans="1:20" ht="21.75" customHeight="1" x14ac:dyDescent="0.3">
      <c r="A15" s="26">
        <v>4</v>
      </c>
      <c r="B15" s="26" t="s">
        <v>56</v>
      </c>
      <c r="C15" s="26">
        <v>74</v>
      </c>
      <c r="D15" s="26"/>
      <c r="E15" s="26"/>
      <c r="F15" s="26"/>
      <c r="G15" s="26"/>
      <c r="H15" s="26"/>
      <c r="I15" s="27"/>
      <c r="J15" s="28" t="s">
        <v>57</v>
      </c>
      <c r="K15" s="2"/>
      <c r="L15" s="2"/>
      <c r="M15" s="29"/>
      <c r="N15" s="30"/>
      <c r="O15" s="29"/>
      <c r="P15" s="29"/>
      <c r="Q15" s="29"/>
      <c r="R15" s="29"/>
      <c r="S15" s="31"/>
      <c r="T15" s="33"/>
    </row>
    <row r="16" spans="1:20" ht="33" customHeight="1" x14ac:dyDescent="0.3">
      <c r="A16" s="26">
        <v>5</v>
      </c>
      <c r="B16" s="26" t="s">
        <v>58</v>
      </c>
      <c r="C16" s="26">
        <v>74</v>
      </c>
      <c r="D16" s="26"/>
      <c r="E16" s="26"/>
      <c r="F16" s="26"/>
      <c r="G16" s="26"/>
      <c r="H16" s="26"/>
      <c r="I16" s="27"/>
      <c r="J16" s="28" t="s">
        <v>59</v>
      </c>
      <c r="K16" s="2"/>
      <c r="L16" s="2"/>
      <c r="M16" s="29"/>
      <c r="N16" s="30"/>
      <c r="O16" s="29"/>
      <c r="P16" s="29"/>
      <c r="Q16" s="29"/>
      <c r="R16" s="29"/>
      <c r="S16" s="31"/>
      <c r="T16" s="33"/>
    </row>
    <row r="17" spans="1:20" ht="21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21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21.75" customHeight="1" x14ac:dyDescent="0.3">
      <c r="A19" s="1" t="s">
        <v>60</v>
      </c>
      <c r="B19" s="1"/>
      <c r="C19" s="1"/>
      <c r="D19" s="1"/>
      <c r="E19" s="1"/>
      <c r="F19" s="1"/>
      <c r="G19" s="1"/>
      <c r="H19" s="1"/>
      <c r="I19" s="1" t="s">
        <v>25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21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21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21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21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21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21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21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21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21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21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21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21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21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21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21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21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21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21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21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21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21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21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21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21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21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21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21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21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21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21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21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21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21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21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21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21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21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21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21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21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21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21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21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21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21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21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21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21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21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21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21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21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21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21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21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21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21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21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21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21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21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21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21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21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21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21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21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21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21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21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21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21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21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21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21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21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21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21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21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21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21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</sheetData>
  <mergeCells count="2">
    <mergeCell ref="A1:J1"/>
    <mergeCell ref="A3:J3"/>
  </mergeCells>
  <printOptions horizontalCentered="1" verticalCentered="1"/>
  <pageMargins left="0" right="0" top="0" bottom="0" header="0" footer="0"/>
  <pageSetup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8"/>
  <sheetViews>
    <sheetView topLeftCell="A5" workbookViewId="0">
      <selection sqref="A1:E1"/>
    </sheetView>
  </sheetViews>
  <sheetFormatPr defaultColWidth="14.44140625" defaultRowHeight="15" customHeight="1" x14ac:dyDescent="0.3"/>
  <cols>
    <col min="1" max="1" width="9.33203125" customWidth="1"/>
    <col min="2" max="2" width="38.109375" customWidth="1"/>
    <col min="3" max="4" width="13.6640625" customWidth="1"/>
    <col min="5" max="5" width="12.88671875" customWidth="1"/>
    <col min="6" max="9" width="9.109375" customWidth="1"/>
    <col min="10" max="11" width="8.6640625" customWidth="1"/>
  </cols>
  <sheetData>
    <row r="1" spans="1:11" ht="34.5" customHeight="1" x14ac:dyDescent="0.3">
      <c r="A1" s="126" t="s">
        <v>61</v>
      </c>
      <c r="B1" s="100"/>
      <c r="C1" s="100"/>
      <c r="D1" s="100"/>
      <c r="E1" s="100"/>
      <c r="F1" s="34"/>
      <c r="G1" s="34"/>
      <c r="H1" s="34"/>
      <c r="I1" s="34"/>
      <c r="J1" s="34"/>
      <c r="K1" s="34"/>
    </row>
    <row r="2" spans="1:11" ht="24.75" customHeight="1" x14ac:dyDescent="0.3">
      <c r="A2" s="125" t="s">
        <v>62</v>
      </c>
      <c r="B2" s="100"/>
      <c r="C2" s="100"/>
      <c r="D2" s="100"/>
      <c r="E2" s="100"/>
      <c r="F2" s="34"/>
      <c r="G2" s="34"/>
      <c r="H2" s="34"/>
      <c r="I2" s="34"/>
      <c r="J2" s="34"/>
      <c r="K2" s="34"/>
    </row>
    <row r="3" spans="1:11" ht="24.75" customHeight="1" x14ac:dyDescent="0.3">
      <c r="A3" s="35"/>
      <c r="B3" s="35"/>
      <c r="C3" s="35"/>
      <c r="D3" s="35"/>
      <c r="E3" s="35"/>
      <c r="F3" s="34"/>
      <c r="G3" s="34"/>
      <c r="H3" s="34"/>
      <c r="I3" s="34"/>
      <c r="J3" s="34"/>
      <c r="K3" s="34"/>
    </row>
    <row r="4" spans="1:11" ht="24.75" customHeight="1" x14ac:dyDescent="0.3">
      <c r="A4" s="36" t="s">
        <v>63</v>
      </c>
      <c r="B4" s="37"/>
      <c r="C4" s="38"/>
      <c r="D4" s="39"/>
      <c r="E4" s="36"/>
      <c r="F4" s="34"/>
      <c r="G4" s="34"/>
      <c r="H4" s="34"/>
      <c r="I4" s="34"/>
      <c r="J4" s="34"/>
      <c r="K4" s="34"/>
    </row>
    <row r="5" spans="1:11" ht="30" customHeight="1" x14ac:dyDescent="0.3">
      <c r="A5" s="40" t="s">
        <v>40</v>
      </c>
      <c r="B5" s="40" t="s">
        <v>64</v>
      </c>
      <c r="C5" s="40" t="s">
        <v>65</v>
      </c>
      <c r="D5" s="40" t="s">
        <v>66</v>
      </c>
      <c r="E5" s="40" t="s">
        <v>67</v>
      </c>
      <c r="F5" s="34"/>
      <c r="G5" s="34"/>
      <c r="H5" s="34"/>
      <c r="I5" s="34"/>
      <c r="J5" s="34"/>
      <c r="K5" s="34"/>
    </row>
    <row r="6" spans="1:11" ht="30" customHeight="1" x14ac:dyDescent="0.3">
      <c r="A6" s="40">
        <v>1</v>
      </c>
      <c r="B6" s="41" t="s">
        <v>68</v>
      </c>
      <c r="C6" s="42"/>
      <c r="D6" s="43">
        <v>750</v>
      </c>
      <c r="E6" s="44">
        <f t="shared" ref="E6:E8" si="0">C6/D6</f>
        <v>0</v>
      </c>
      <c r="F6" s="34"/>
      <c r="G6" s="34"/>
      <c r="H6" s="34"/>
      <c r="I6" s="34"/>
      <c r="J6" s="34"/>
      <c r="K6" s="34"/>
    </row>
    <row r="7" spans="1:11" ht="30" customHeight="1" x14ac:dyDescent="0.3">
      <c r="A7" s="40">
        <v>2</v>
      </c>
      <c r="B7" s="45" t="s">
        <v>69</v>
      </c>
      <c r="C7" s="42"/>
      <c r="D7" s="43">
        <v>750</v>
      </c>
      <c r="E7" s="44">
        <f t="shared" si="0"/>
        <v>0</v>
      </c>
      <c r="F7" s="34"/>
      <c r="G7" s="34"/>
      <c r="H7" s="34"/>
      <c r="I7" s="34"/>
      <c r="J7" s="34"/>
      <c r="K7" s="34"/>
    </row>
    <row r="8" spans="1:11" ht="30" customHeight="1" x14ac:dyDescent="0.3">
      <c r="A8" s="40">
        <v>3</v>
      </c>
      <c r="B8" s="46" t="s">
        <v>70</v>
      </c>
      <c r="C8" s="47"/>
      <c r="D8" s="43">
        <v>750</v>
      </c>
      <c r="E8" s="44">
        <f t="shared" si="0"/>
        <v>0</v>
      </c>
      <c r="F8" s="34"/>
      <c r="G8" s="34"/>
      <c r="H8" s="34"/>
      <c r="I8" s="34"/>
      <c r="J8" s="34"/>
      <c r="K8" s="34"/>
    </row>
    <row r="9" spans="1:11" ht="18" customHeight="1" x14ac:dyDescent="0.3">
      <c r="A9" s="48"/>
      <c r="B9" s="49"/>
      <c r="C9" s="49"/>
      <c r="D9" s="49"/>
      <c r="E9" s="49"/>
      <c r="F9" s="34"/>
      <c r="G9" s="34"/>
      <c r="H9" s="34"/>
      <c r="I9" s="34"/>
      <c r="J9" s="34"/>
      <c r="K9" s="34"/>
    </row>
    <row r="10" spans="1:11" ht="18" customHeight="1" x14ac:dyDescent="0.3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spans="1:11" ht="18" customHeight="1" x14ac:dyDescent="0.3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</row>
    <row r="12" spans="1:11" ht="18" customHeight="1" x14ac:dyDescent="0.3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</row>
    <row r="13" spans="1:11" ht="18" customHeight="1" x14ac:dyDescent="0.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</row>
    <row r="14" spans="1:11" ht="18" customHeight="1" x14ac:dyDescent="0.3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</row>
    <row r="15" spans="1:11" ht="18" customHeight="1" x14ac:dyDescent="0.3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</row>
    <row r="16" spans="1:11" ht="18" customHeight="1" x14ac:dyDescent="0.3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</row>
    <row r="17" spans="1:11" ht="18" customHeight="1" x14ac:dyDescent="0.3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</row>
    <row r="18" spans="1:11" ht="18" customHeight="1" x14ac:dyDescent="0.3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</row>
    <row r="19" spans="1:11" ht="18" customHeight="1" x14ac:dyDescent="0.3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spans="1:11" ht="18" customHeight="1" x14ac:dyDescent="0.3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</row>
    <row r="21" spans="1:11" ht="18" customHeight="1" x14ac:dyDescent="0.3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</row>
    <row r="22" spans="1:11" ht="18" customHeight="1" x14ac:dyDescent="0.3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</row>
    <row r="23" spans="1:11" ht="18" customHeight="1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</row>
    <row r="24" spans="1:11" ht="18" customHeight="1" x14ac:dyDescent="0.3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</row>
    <row r="25" spans="1:11" ht="18" customHeight="1" x14ac:dyDescent="0.3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</row>
    <row r="26" spans="1:11" ht="18" customHeight="1" x14ac:dyDescent="0.3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</row>
    <row r="27" spans="1:11" ht="18" customHeight="1" x14ac:dyDescent="0.3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</row>
    <row r="28" spans="1:11" ht="18" customHeight="1" x14ac:dyDescent="0.3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</row>
    <row r="29" spans="1:11" ht="18" customHeight="1" x14ac:dyDescent="0.3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</row>
    <row r="30" spans="1:11" ht="18" customHeight="1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spans="1:11" ht="18" customHeight="1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</row>
    <row r="32" spans="1:11" ht="18" customHeight="1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</row>
    <row r="33" spans="1:11" ht="18" customHeight="1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</row>
    <row r="34" spans="1:11" ht="18" customHeight="1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</row>
    <row r="35" spans="1:11" ht="18" customHeight="1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</row>
    <row r="36" spans="1:11" ht="18" customHeight="1" x14ac:dyDescent="0.3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</row>
    <row r="37" spans="1:11" ht="18" customHeight="1" x14ac:dyDescent="0.3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</row>
    <row r="38" spans="1:11" ht="18" customHeight="1" x14ac:dyDescent="0.3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</row>
    <row r="39" spans="1:11" ht="18" customHeight="1" x14ac:dyDescent="0.3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spans="1:11" ht="18" customHeight="1" x14ac:dyDescent="0.3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</row>
    <row r="41" spans="1:11" ht="18" customHeight="1" x14ac:dyDescent="0.3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</row>
    <row r="42" spans="1:11" ht="18" customHeight="1" x14ac:dyDescent="0.3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</row>
    <row r="43" spans="1:11" ht="18" customHeight="1" x14ac:dyDescent="0.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</row>
    <row r="44" spans="1:11" ht="18" customHeight="1" x14ac:dyDescent="0.3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</row>
    <row r="45" spans="1:11" ht="18" customHeight="1" x14ac:dyDescent="0.3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</row>
    <row r="46" spans="1:11" ht="18" customHeight="1" x14ac:dyDescent="0.3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</row>
    <row r="47" spans="1:11" ht="18" customHeight="1" x14ac:dyDescent="0.3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</row>
    <row r="48" spans="1:11" ht="18" customHeight="1" x14ac:dyDescent="0.3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</row>
    <row r="49" spans="1:11" ht="18" customHeight="1" x14ac:dyDescent="0.3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spans="1:11" ht="18" customHeight="1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</row>
    <row r="51" spans="1:11" ht="18" customHeight="1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</row>
    <row r="52" spans="1:11" ht="18" customHeight="1" x14ac:dyDescent="0.3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</row>
    <row r="53" spans="1:11" ht="18" customHeight="1" x14ac:dyDescent="0.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</row>
    <row r="54" spans="1:11" ht="18" customHeight="1" x14ac:dyDescent="0.3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</row>
    <row r="55" spans="1:11" ht="18" customHeight="1" x14ac:dyDescent="0.3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</row>
    <row r="56" spans="1:11" ht="18" customHeight="1" x14ac:dyDescent="0.3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spans="1:11" ht="18" customHeight="1" x14ac:dyDescent="0.3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</row>
    <row r="58" spans="1:11" ht="18" customHeight="1" x14ac:dyDescent="0.3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</row>
    <row r="59" spans="1:11" ht="18" customHeight="1" x14ac:dyDescent="0.3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</row>
    <row r="60" spans="1:11" ht="18" customHeight="1" x14ac:dyDescent="0.3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</row>
    <row r="61" spans="1:11" ht="18" customHeight="1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</row>
    <row r="62" spans="1:11" ht="18" customHeight="1" x14ac:dyDescent="0.3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</row>
    <row r="63" spans="1:11" ht="18" customHeight="1" x14ac:dyDescent="0.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</row>
    <row r="64" spans="1:11" ht="18" customHeight="1" x14ac:dyDescent="0.3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</row>
    <row r="65" spans="1:11" ht="18" customHeight="1" x14ac:dyDescent="0.3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</row>
    <row r="66" spans="1:11" ht="18" customHeight="1" x14ac:dyDescent="0.3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</row>
    <row r="67" spans="1:11" ht="18" customHeight="1" x14ac:dyDescent="0.3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</row>
    <row r="68" spans="1:11" ht="18" customHeight="1" x14ac:dyDescent="0.3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</row>
    <row r="69" spans="1:11" ht="18" customHeight="1" x14ac:dyDescent="0.3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</row>
    <row r="70" spans="1:11" ht="18" customHeight="1" x14ac:dyDescent="0.3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</row>
    <row r="71" spans="1:11" ht="18" customHeight="1" x14ac:dyDescent="0.3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</row>
    <row r="72" spans="1:11" ht="18" customHeight="1" x14ac:dyDescent="0.3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</row>
    <row r="73" spans="1:11" ht="18" customHeight="1" x14ac:dyDescent="0.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</row>
    <row r="74" spans="1:11" ht="18" customHeight="1" x14ac:dyDescent="0.3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</row>
    <row r="75" spans="1:11" ht="18" customHeight="1" x14ac:dyDescent="0.3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</row>
    <row r="76" spans="1:11" ht="18" customHeight="1" x14ac:dyDescent="0.3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</row>
    <row r="77" spans="1:11" ht="18" customHeight="1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</row>
    <row r="78" spans="1:11" ht="18" customHeight="1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</row>
    <row r="79" spans="1:11" ht="18" customHeight="1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</row>
    <row r="80" spans="1:11" ht="18" customHeight="1" x14ac:dyDescent="0.3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</row>
    <row r="81" spans="1:11" ht="18" customHeight="1" x14ac:dyDescent="0.3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</row>
    <row r="82" spans="1:11" ht="18" customHeight="1" x14ac:dyDescent="0.3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</row>
    <row r="83" spans="1:11" ht="18" customHeight="1" x14ac:dyDescent="0.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</row>
    <row r="84" spans="1:11" ht="18" customHeight="1" x14ac:dyDescent="0.3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</row>
    <row r="85" spans="1:11" ht="18" customHeight="1" x14ac:dyDescent="0.3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</row>
    <row r="86" spans="1:11" ht="18" customHeight="1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</row>
    <row r="87" spans="1:11" ht="18" customHeight="1" x14ac:dyDescent="0.3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</row>
    <row r="88" spans="1:11" ht="18" customHeight="1" x14ac:dyDescent="0.3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</row>
    <row r="89" spans="1:11" ht="18" customHeight="1" x14ac:dyDescent="0.3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</row>
    <row r="90" spans="1:11" ht="18" customHeight="1" x14ac:dyDescent="0.3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</row>
    <row r="91" spans="1:11" ht="18" customHeight="1" x14ac:dyDescent="0.3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</row>
    <row r="92" spans="1:11" ht="18" customHeight="1" x14ac:dyDescent="0.3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</row>
    <row r="93" spans="1:11" ht="18" customHeight="1" x14ac:dyDescent="0.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</row>
    <row r="94" spans="1:11" ht="18" customHeight="1" x14ac:dyDescent="0.3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</row>
    <row r="95" spans="1:11" ht="18" customHeight="1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</row>
    <row r="96" spans="1:11" ht="18" customHeight="1" x14ac:dyDescent="0.3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</row>
    <row r="97" spans="1:11" ht="18" customHeight="1" x14ac:dyDescent="0.3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</row>
    <row r="98" spans="1:11" ht="18" customHeight="1" x14ac:dyDescent="0.3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</row>
    <row r="99" spans="1:11" ht="18" customHeight="1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</row>
    <row r="100" spans="1:11" ht="18" customHeight="1" x14ac:dyDescent="0.3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</row>
    <row r="101" spans="1:11" ht="18" customHeight="1" x14ac:dyDescent="0.3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</row>
    <row r="102" spans="1:11" ht="18" customHeight="1" x14ac:dyDescent="0.3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</row>
    <row r="103" spans="1:11" ht="18" customHeight="1" x14ac:dyDescent="0.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</row>
    <row r="104" spans="1:11" ht="18" customHeight="1" x14ac:dyDescent="0.3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</row>
    <row r="105" spans="1:11" ht="18" customHeight="1" x14ac:dyDescent="0.3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</row>
    <row r="106" spans="1:11" ht="18" customHeight="1" x14ac:dyDescent="0.3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</row>
    <row r="107" spans="1:11" ht="18" customHeight="1" x14ac:dyDescent="0.3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</row>
    <row r="108" spans="1:11" ht="18" customHeight="1" x14ac:dyDescent="0.3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</row>
    <row r="109" spans="1:11" ht="18" customHeight="1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</row>
    <row r="110" spans="1:11" ht="18" customHeight="1" x14ac:dyDescent="0.3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</row>
    <row r="111" spans="1:11" ht="18" customHeight="1" x14ac:dyDescent="0.3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</row>
    <row r="112" spans="1:11" ht="18" customHeight="1" x14ac:dyDescent="0.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</row>
    <row r="113" spans="1:11" ht="18" customHeight="1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</row>
    <row r="114" spans="1:11" ht="18" customHeight="1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</row>
    <row r="115" spans="1:11" ht="18" customHeight="1" x14ac:dyDescent="0.3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</row>
    <row r="116" spans="1:11" ht="18" customHeight="1" x14ac:dyDescent="0.3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</row>
    <row r="117" spans="1:11" ht="18" customHeight="1" x14ac:dyDescent="0.3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</row>
    <row r="118" spans="1:11" ht="18" customHeight="1" x14ac:dyDescent="0.3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</row>
    <row r="119" spans="1:11" ht="18" customHeight="1" x14ac:dyDescent="0.3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</row>
    <row r="120" spans="1:11" ht="18" customHeight="1" x14ac:dyDescent="0.3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</row>
    <row r="121" spans="1:11" ht="18" customHeight="1" x14ac:dyDescent="0.3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</row>
    <row r="122" spans="1:11" ht="18" customHeight="1" x14ac:dyDescent="0.3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</row>
    <row r="123" spans="1:11" ht="18" customHeight="1" x14ac:dyDescent="0.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</row>
    <row r="124" spans="1:11" ht="18" customHeight="1" x14ac:dyDescent="0.3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</row>
    <row r="125" spans="1:11" ht="18" customHeight="1" x14ac:dyDescent="0.3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</row>
    <row r="126" spans="1:11" ht="18" customHeight="1" x14ac:dyDescent="0.3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</row>
    <row r="127" spans="1:11" ht="18" customHeight="1" x14ac:dyDescent="0.3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</row>
    <row r="128" spans="1:11" ht="18" customHeight="1" x14ac:dyDescent="0.3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</row>
    <row r="129" spans="1:11" ht="18" customHeight="1" x14ac:dyDescent="0.3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</row>
    <row r="130" spans="1:11" ht="18" customHeight="1" x14ac:dyDescent="0.3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</row>
    <row r="131" spans="1:11" ht="18" customHeight="1" x14ac:dyDescent="0.3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</row>
    <row r="132" spans="1:11" ht="18" customHeight="1" x14ac:dyDescent="0.3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</row>
    <row r="133" spans="1:11" ht="18" customHeight="1" x14ac:dyDescent="0.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</row>
    <row r="134" spans="1:11" ht="18" customHeight="1" x14ac:dyDescent="0.3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</row>
    <row r="135" spans="1:11" ht="18" customHeight="1" x14ac:dyDescent="0.3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</row>
    <row r="136" spans="1:11" ht="18" customHeight="1" x14ac:dyDescent="0.3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</row>
    <row r="137" spans="1:11" ht="18" customHeight="1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</row>
    <row r="138" spans="1:11" ht="18" customHeight="1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</row>
    <row r="139" spans="1:11" ht="18" customHeight="1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</row>
    <row r="140" spans="1:11" ht="18" customHeight="1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</row>
    <row r="141" spans="1:11" ht="18" customHeight="1" x14ac:dyDescent="0.3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</row>
    <row r="142" spans="1:11" ht="18" customHeight="1" x14ac:dyDescent="0.3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</row>
    <row r="143" spans="1:11" ht="18" customHeight="1" x14ac:dyDescent="0.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</row>
    <row r="144" spans="1:11" ht="18" customHeight="1" x14ac:dyDescent="0.3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</row>
    <row r="145" spans="1:11" ht="18" customHeight="1" x14ac:dyDescent="0.3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</row>
    <row r="146" spans="1:11" ht="18" customHeight="1" x14ac:dyDescent="0.3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</row>
    <row r="147" spans="1:11" ht="18" customHeight="1" x14ac:dyDescent="0.3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</row>
    <row r="148" spans="1:11" ht="18" customHeight="1" x14ac:dyDescent="0.3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</row>
    <row r="149" spans="1:11" ht="18" customHeight="1" x14ac:dyDescent="0.3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</row>
    <row r="150" spans="1:11" ht="18" customHeight="1" x14ac:dyDescent="0.3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</row>
    <row r="151" spans="1:11" ht="18" customHeight="1" x14ac:dyDescent="0.3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</row>
    <row r="152" spans="1:11" ht="18" customHeight="1" x14ac:dyDescent="0.3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</row>
    <row r="153" spans="1:11" ht="18" customHeight="1" x14ac:dyDescent="0.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</row>
    <row r="154" spans="1:11" ht="18" customHeight="1" x14ac:dyDescent="0.3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</row>
    <row r="155" spans="1:11" ht="18" customHeight="1" x14ac:dyDescent="0.3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</row>
    <row r="156" spans="1:11" ht="18" customHeight="1" x14ac:dyDescent="0.3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</row>
    <row r="157" spans="1:11" ht="18" customHeight="1" x14ac:dyDescent="0.3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</row>
    <row r="158" spans="1:11" ht="18" customHeight="1" x14ac:dyDescent="0.3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</row>
    <row r="159" spans="1:11" ht="18" customHeight="1" x14ac:dyDescent="0.3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</row>
    <row r="160" spans="1:11" ht="18" customHeight="1" x14ac:dyDescent="0.3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</row>
    <row r="161" spans="1:11" ht="18" customHeight="1" x14ac:dyDescent="0.3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</row>
    <row r="162" spans="1:11" ht="18" customHeight="1" x14ac:dyDescent="0.3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</row>
    <row r="163" spans="1:11" ht="18" customHeight="1" x14ac:dyDescent="0.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</row>
    <row r="164" spans="1:11" ht="18" customHeight="1" x14ac:dyDescent="0.3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</row>
    <row r="165" spans="1:11" ht="18" customHeight="1" x14ac:dyDescent="0.3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</row>
    <row r="166" spans="1:11" ht="18" customHeight="1" x14ac:dyDescent="0.3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</row>
    <row r="167" spans="1:11" ht="18" customHeight="1" x14ac:dyDescent="0.3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</row>
    <row r="168" spans="1:11" ht="18" customHeight="1" x14ac:dyDescent="0.3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</row>
    <row r="169" spans="1:11" ht="18" customHeight="1" x14ac:dyDescent="0.3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</row>
    <row r="170" spans="1:11" ht="18" customHeight="1" x14ac:dyDescent="0.3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</row>
    <row r="171" spans="1:11" ht="18" customHeight="1" x14ac:dyDescent="0.3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</row>
    <row r="172" spans="1:11" ht="18" customHeight="1" x14ac:dyDescent="0.3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</row>
    <row r="173" spans="1:11" ht="18" customHeight="1" x14ac:dyDescent="0.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</row>
    <row r="174" spans="1:11" ht="18" customHeight="1" x14ac:dyDescent="0.3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</row>
    <row r="175" spans="1:11" ht="18" customHeight="1" x14ac:dyDescent="0.3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</row>
    <row r="176" spans="1:11" ht="18" customHeight="1" x14ac:dyDescent="0.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</row>
    <row r="177" spans="1:11" ht="18" customHeight="1" x14ac:dyDescent="0.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</row>
    <row r="178" spans="1:11" ht="18" customHeight="1" x14ac:dyDescent="0.3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</row>
    <row r="179" spans="1:11" ht="18" customHeight="1" x14ac:dyDescent="0.3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</row>
    <row r="180" spans="1:11" ht="18" customHeight="1" x14ac:dyDescent="0.3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</row>
    <row r="181" spans="1:11" ht="18" customHeight="1" x14ac:dyDescent="0.3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</row>
    <row r="182" spans="1:11" ht="18" customHeight="1" x14ac:dyDescent="0.3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</row>
    <row r="183" spans="1:11" ht="18" customHeight="1" x14ac:dyDescent="0.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</row>
    <row r="184" spans="1:11" ht="18" customHeight="1" x14ac:dyDescent="0.3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</row>
    <row r="185" spans="1:11" ht="18" customHeight="1" x14ac:dyDescent="0.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</row>
    <row r="186" spans="1:11" ht="18" customHeight="1" x14ac:dyDescent="0.3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</row>
    <row r="187" spans="1:11" ht="18" customHeight="1" x14ac:dyDescent="0.3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</row>
    <row r="188" spans="1:11" ht="18" customHeight="1" x14ac:dyDescent="0.3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</row>
    <row r="189" spans="1:11" ht="18" customHeight="1" x14ac:dyDescent="0.3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</row>
    <row r="190" spans="1:11" ht="18" customHeight="1" x14ac:dyDescent="0.3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</row>
    <row r="191" spans="1:11" ht="18" customHeight="1" x14ac:dyDescent="0.3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</row>
    <row r="192" spans="1:11" ht="18" customHeight="1" x14ac:dyDescent="0.3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</row>
    <row r="193" spans="1:11" ht="18" customHeight="1" x14ac:dyDescent="0.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</row>
    <row r="194" spans="1:11" ht="18" customHeight="1" x14ac:dyDescent="0.3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</row>
    <row r="195" spans="1:11" ht="18" customHeight="1" x14ac:dyDescent="0.3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</row>
    <row r="196" spans="1:11" ht="18" customHeight="1" x14ac:dyDescent="0.3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</row>
    <row r="197" spans="1:11" ht="18" customHeight="1" x14ac:dyDescent="0.3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</row>
    <row r="198" spans="1:11" ht="18" customHeight="1" x14ac:dyDescent="0.3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</row>
  </sheetData>
  <mergeCells count="2">
    <mergeCell ref="A2:E2"/>
    <mergeCell ref="A1:E1"/>
  </mergeCells>
  <printOptions horizontalCentered="1" verticalCentered="1"/>
  <pageMargins left="0.75" right="0.75" top="0" bottom="1" header="0" footer="0"/>
  <pageSetup orientation="landscape"/>
  <colBreaks count="1" manualBreakCount="1">
    <brk id="6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D32C8-8B64-4421-A11C-4081252A0767}">
  <dimension ref="A3:C20"/>
  <sheetViews>
    <sheetView workbookViewId="0">
      <selection activeCell="Q12" sqref="Q12"/>
    </sheetView>
  </sheetViews>
  <sheetFormatPr defaultRowHeight="13.8" x14ac:dyDescent="0.3"/>
  <sheetData>
    <row r="3" spans="1:3" x14ac:dyDescent="0.3">
      <c r="A3" s="80"/>
      <c r="B3" s="81"/>
      <c r="C3" s="82"/>
    </row>
    <row r="4" spans="1:3" x14ac:dyDescent="0.3">
      <c r="A4" s="83"/>
      <c r="B4" s="84"/>
      <c r="C4" s="85"/>
    </row>
    <row r="5" spans="1:3" x14ac:dyDescent="0.3">
      <c r="A5" s="83"/>
      <c r="B5" s="84"/>
      <c r="C5" s="85"/>
    </row>
    <row r="6" spans="1:3" x14ac:dyDescent="0.3">
      <c r="A6" s="83"/>
      <c r="B6" s="84"/>
      <c r="C6" s="85"/>
    </row>
    <row r="7" spans="1:3" x14ac:dyDescent="0.3">
      <c r="A7" s="83"/>
      <c r="B7" s="84"/>
      <c r="C7" s="85"/>
    </row>
    <row r="8" spans="1:3" x14ac:dyDescent="0.3">
      <c r="A8" s="83"/>
      <c r="B8" s="84"/>
      <c r="C8" s="85"/>
    </row>
    <row r="9" spans="1:3" x14ac:dyDescent="0.3">
      <c r="A9" s="83"/>
      <c r="B9" s="84"/>
      <c r="C9" s="85"/>
    </row>
    <row r="10" spans="1:3" x14ac:dyDescent="0.3">
      <c r="A10" s="83"/>
      <c r="B10" s="84"/>
      <c r="C10" s="85"/>
    </row>
    <row r="11" spans="1:3" x14ac:dyDescent="0.3">
      <c r="A11" s="83"/>
      <c r="B11" s="84"/>
      <c r="C11" s="85"/>
    </row>
    <row r="12" spans="1:3" x14ac:dyDescent="0.3">
      <c r="A12" s="83"/>
      <c r="B12" s="84"/>
      <c r="C12" s="85"/>
    </row>
    <row r="13" spans="1:3" x14ac:dyDescent="0.3">
      <c r="A13" s="83"/>
      <c r="B13" s="84"/>
      <c r="C13" s="85"/>
    </row>
    <row r="14" spans="1:3" x14ac:dyDescent="0.3">
      <c r="A14" s="83"/>
      <c r="B14" s="84"/>
      <c r="C14" s="85"/>
    </row>
    <row r="15" spans="1:3" x14ac:dyDescent="0.3">
      <c r="A15" s="83"/>
      <c r="B15" s="84"/>
      <c r="C15" s="85"/>
    </row>
    <row r="16" spans="1:3" x14ac:dyDescent="0.3">
      <c r="A16" s="83"/>
      <c r="B16" s="84"/>
      <c r="C16" s="85"/>
    </row>
    <row r="17" spans="1:3" x14ac:dyDescent="0.3">
      <c r="A17" s="83"/>
      <c r="B17" s="84"/>
      <c r="C17" s="85"/>
    </row>
    <row r="18" spans="1:3" x14ac:dyDescent="0.3">
      <c r="A18" s="83"/>
      <c r="B18" s="84"/>
      <c r="C18" s="85"/>
    </row>
    <row r="19" spans="1:3" x14ac:dyDescent="0.3">
      <c r="A19" s="83"/>
      <c r="B19" s="84"/>
      <c r="C19" s="85"/>
    </row>
    <row r="20" spans="1:3" x14ac:dyDescent="0.3">
      <c r="A20" s="86"/>
      <c r="B20" s="87"/>
      <c r="C20" s="8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C4447-5A6A-412C-9543-FB7C5ACB46EE}">
  <dimension ref="A1:B1"/>
  <sheetViews>
    <sheetView workbookViewId="0"/>
  </sheetViews>
  <sheetFormatPr defaultRowHeight="13.8" x14ac:dyDescent="0.3"/>
  <cols>
    <col min="1" max="1" width="18.6640625" bestFit="1" customWidth="1"/>
    <col min="2" max="2" width="6.33203125" bestFit="1" customWidth="1"/>
  </cols>
  <sheetData>
    <row r="1" spans="1:2" x14ac:dyDescent="0.3">
      <c r="A1" s="89" t="s">
        <v>71</v>
      </c>
      <c r="B1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subject wise</vt:lpstr>
      <vt:lpstr>Format A </vt:lpstr>
      <vt:lpstr>Format B </vt:lpstr>
      <vt:lpstr>Topper  </vt:lpstr>
      <vt:lpstr>Sheet1</vt:lpstr>
      <vt:lpstr>Sheet2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jkp</dc:creator>
  <cp:lastModifiedBy>Bhavin Panchal</cp:lastModifiedBy>
  <cp:lastPrinted>2018-06-25T04:56:19Z</cp:lastPrinted>
  <dcterms:created xsi:type="dcterms:W3CDTF">2008-02-29T06:38:03Z</dcterms:created>
  <dcterms:modified xsi:type="dcterms:W3CDTF">2025-03-02T20:52:56Z</dcterms:modified>
</cp:coreProperties>
</file>